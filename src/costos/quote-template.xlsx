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31adf408d4ee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LANTILLA COTIZACIÓN" sheetId="1" r:id="R2b26ab02d56e4b3d"/>
    <sheet xmlns:r="http://schemas.openxmlformats.org/officeDocument/2006/relationships" name="MAESTRO PRECIOS" sheetId="2" r:id="R51ceffd0f4d74894"/>
    <sheet xmlns:r="http://schemas.openxmlformats.org/officeDocument/2006/relationships" name="REVISIÓN TÉCNICA" sheetId="3" r:id="Rb4d032a67da44a7c"/>
    <sheet xmlns:r="http://schemas.openxmlformats.org/officeDocument/2006/relationships" name="GUÍA PARA GPT" sheetId="4" r:id="R08bbc253614f4e61"/>
    <sheet xmlns:r="http://schemas.openxmlformats.org/officeDocument/2006/relationships" name="FUENTES" sheetId="5" r:id="R5d9cff97b74847b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5">
    <numFmt numFmtId="200" formatCode="yyyy-mm-dd"/>
    <numFmt numFmtId="201" formatCode="0%"/>
    <numFmt numFmtId="202" formatCode="&quot;$&quot;#,##0.00"/>
    <numFmt numFmtId="203" formatCode="0.00"/>
    <numFmt numFmtId="204" formatCode="0"/>
  </numFmts>
  <fonts count="1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1E2A32"/>
      <name val="Carlito"/>
    </font>
    <font>
      <i/>
      <sz val="9"/>
      <color rgb="FF1E2A32"/>
      <name val="Carlito"/>
    </font>
    <font>
      <b/>
      <sz val="9"/>
      <color rgb="FFFFFFFF"/>
      <name val="Carlito"/>
    </font>
    <font>
      <b/>
      <sz val="10"/>
      <color rgb="FFFFFFFF"/>
      <name val="Carlito"/>
    </font>
    <font>
      <sz val="9"/>
      <color rgb="FF1E2A32"/>
      <name val="Carlito"/>
    </font>
    <font>
      <b/>
      <sz val="9"/>
      <color rgb="FF1E2A32"/>
      <name val="Carlito"/>
    </font>
    <font>
      <b/>
      <sz val="11"/>
      <color rgb="FF1E2A32"/>
      <name val="Carlito"/>
    </font>
    <font>
      <b/>
      <sz val="12"/>
      <color rgb="FFFFFFFF"/>
      <name val="Carlito"/>
    </font>
    <font>
      <b/>
      <sz val="15"/>
      <color rgb="FFFFFFFF"/>
      <name val="Carlito"/>
    </font>
    <font>
      <b/>
      <sz val="10"/>
      <color rgb="FF1E2A32"/>
      <name val="Carlito"/>
    </font>
    <font>
      <sz val="10"/>
      <color rgb="FF1E2A32"/>
      <name val="Carlito"/>
    </font>
  </fonts>
  <fills count="9">
    <fill>
      <patternFill patternType="none"/>
    </fill>
    <fill>
      <patternFill patternType="gray125"/>
    </fill>
    <fill>
      <patternFill patternType="solid">
        <fgColor rgb="FF25323B"/>
      </patternFill>
    </fill>
    <fill>
      <patternFill patternType="solid">
        <fgColor rgb="FF334451"/>
      </patternFill>
    </fill>
    <fill>
      <patternFill patternType="solid">
        <fgColor rgb="FFF5F7F8"/>
      </patternFill>
    </fill>
    <fill>
      <patternFill patternType="solid">
        <fgColor rgb="FFDCE8EE"/>
      </patternFill>
    </fill>
    <fill>
      <patternFill patternType="solid">
        <fgColor rgb="FFB52828"/>
      </patternFill>
    </fill>
    <fill>
      <patternFill patternType="solid">
        <fgColor rgb="FFF8E8E8"/>
      </patternFill>
    </fill>
    <fill>
      <patternFill patternType="solid">
        <fgColor rgb="FFE9EEF1"/>
      </patternFill>
    </fill>
  </fills>
  <borders count="25">
    <border/>
    <border>
      <left style="thin">
        <color rgb="FFB8C3CA"/>
      </left>
      <top style="thin">
        <color rgb="FFB8C3CA"/>
      </top>
    </border>
    <border>
      <top style="thin">
        <color rgb="FFB8C3CA"/>
      </top>
    </border>
    <border>
      <right style="thin">
        <color rgb="FFB8C3CA"/>
      </right>
      <top style="thin">
        <color rgb="FFB8C3CA"/>
      </top>
    </border>
    <border>
      <left style="thin">
        <color rgb="FFB8C3CA"/>
      </left>
    </border>
    <border>
      <right style="thin">
        <color rgb="FFB8C3CA"/>
      </right>
    </border>
    <border>
      <left style="thin">
        <color rgb="FFB8C3CA"/>
      </left>
      <bottom style="thin">
        <color rgb="FFB8C3CA"/>
      </bottom>
    </border>
    <border>
      <bottom style="thin">
        <color rgb="FFB8C3CA"/>
      </bottom>
    </border>
    <border>
      <right style="thin">
        <color rgb="FFB8C3CA"/>
      </right>
      <bottom style="thin">
        <color rgb="FFB8C3C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B8C3CA"/>
      </top>
      <bottom style="thin">
        <color rgb="FFB8C3CA"/>
      </bottom>
    </border>
    <border>
      <left style="thin">
        <color rgb="FF334451"/>
      </left>
      <top style="thin">
        <color rgb="FF334451"/>
      </top>
      <bottom style="thin">
        <color rgb="FF334451"/>
      </bottom>
    </border>
    <border>
      <top style="thin">
        <color rgb="FF334451"/>
      </top>
      <bottom style="thin">
        <color rgb="FF334451"/>
      </bottom>
    </border>
    <border>
      <right style="thin">
        <color rgb="FF334451"/>
      </right>
      <top style="thin">
        <color rgb="FF334451"/>
      </top>
      <bottom style="thin">
        <color rgb="FF334451"/>
      </bottom>
    </border>
    <border>
      <left style="thin">
        <color rgb="FF334451"/>
      </left>
      <top style="thin">
        <color rgb="FF334451"/>
      </top>
    </border>
    <border>
      <top style="thin">
        <color rgb="FF334451"/>
      </top>
    </border>
    <border>
      <right style="thin">
        <color rgb="FF334451"/>
      </right>
      <top style="thin">
        <color rgb="FF334451"/>
      </top>
    </border>
    <border>
      <left style="thin">
        <color rgb="FF334451"/>
      </left>
    </border>
    <border>
      <right style="thin">
        <color rgb="FF334451"/>
      </right>
    </border>
    <border>
      <left style="thin">
        <color rgb="FF334451"/>
      </left>
      <bottom style="thin">
        <color rgb="FF334451"/>
      </bottom>
    </border>
    <border>
      <bottom style="thin">
        <color rgb="FF334451"/>
      </bottom>
    </border>
    <border>
      <right style="thin">
        <color rgb="FF334451"/>
      </right>
      <bottom style="thin">
        <color rgb="FF334451"/>
      </bottom>
    </border>
    <border>
      <left style="medium">
        <color rgb="FF25323B"/>
      </left>
      <top style="medium">
        <color rgb="FF25323B"/>
      </top>
      <bottom style="medium">
        <color rgb="FF25323B"/>
      </bottom>
    </border>
    <border>
      <top style="medium">
        <color rgb="FF25323B"/>
      </top>
      <bottom style="medium">
        <color rgb="FF25323B"/>
      </bottom>
    </border>
    <border>
      <right style="medium">
        <color rgb="FF25323B"/>
      </right>
      <top style="medium">
        <color rgb="FF25323B"/>
      </top>
      <bottom style="medium">
        <color rgb="FF25323B"/>
      </bottom>
    </border>
  </borders>
  <cellStyleXfs count="1">
    <xf numFmtId="0" fontId="0" fillId="0" borderId="0"/>
  </cellStyleXfs>
  <cellXfs count="141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vertical="center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4" xfId="0" applyNumberFormat="1" applyFont="1" applyFill="1" applyBorder="1"/>
    <xf numFmtId="0" fontId="3" fillId="4" borderId="5" xfId="0" applyNumberFormat="1" applyFont="1" applyFill="1" applyBorder="1"/>
    <xf numFmtId="0" fontId="3" fillId="4" borderId="6" xfId="0" applyNumberFormat="1" applyFont="1" applyFill="1" applyBorder="1"/>
    <xf numFmtId="0" fontId="3" fillId="4" borderId="7" xfId="0" applyNumberFormat="1" applyFont="1" applyFill="1" applyBorder="1"/>
    <xf numFmtId="0" fontId="3" fillId="4" borderId="8" xfId="0" applyNumberFormat="1" applyFont="1" applyFill="1" applyBorder="1"/>
    <xf numFmtId="0" fontId="3" fillId="4" borderId="1" xfId="0" applyNumberFormat="1" applyFont="1" applyFill="1" applyBorder="1" applyAlignment="1">
      <alignment vertical="center"/>
    </xf>
    <xf numFmtId="0" fontId="3" fillId="4" borderId="2" xfId="0" applyNumberFormat="1" applyFont="1" applyFill="1" applyBorder="1" applyAlignment="1">
      <alignment vertical="center"/>
    </xf>
    <xf numFmtId="0" fontId="3" fillId="4" borderId="3" xfId="0" applyNumberFormat="1" applyFont="1" applyFill="1" applyBorder="1" applyAlignment="1">
      <alignment vertical="center"/>
    </xf>
    <xf numFmtId="0" fontId="3" fillId="4" borderId="4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3" fillId="4" borderId="5" xfId="0" applyNumberFormat="1" applyFont="1" applyFill="1" applyBorder="1" applyAlignment="1">
      <alignment vertical="center"/>
    </xf>
    <xf numFmtId="0" fontId="3" fillId="4" borderId="6" xfId="0" applyNumberFormat="1" applyFont="1" applyFill="1" applyBorder="1" applyAlignment="1">
      <alignment vertical="center"/>
    </xf>
    <xf numFmtId="0" fontId="3" fillId="4" borderId="7" xfId="0" applyNumberFormat="1" applyFont="1" applyFill="1" applyBorder="1" applyAlignment="1">
      <alignment vertical="center"/>
    </xf>
    <xf numFmtId="0" fontId="3" fillId="4" borderId="8" xfId="0" applyNumberFormat="1" applyFont="1" applyFill="1" applyBorder="1" applyAlignment="1">
      <alignment vertical="center"/>
    </xf>
    <xf numFmtId="200" fontId="3" fillId="4" borderId="4" xfId="0" applyNumberFormat="1" applyFont="1" applyFill="1" applyBorder="1" applyAlignment="1">
      <alignment vertical="center"/>
    </xf>
    <xf numFmtId="200" fontId="3" fillId="4" borderId="0" xfId="0" applyNumberFormat="1" applyFont="1" applyFill="1" applyBorder="1" applyAlignment="1">
      <alignment vertical="center"/>
    </xf>
    <xf numFmtId="200" fontId="3" fillId="4" borderId="5" xfId="0" applyNumberFormat="1" applyFont="1" applyFill="1" applyBorder="1" applyAlignment="1">
      <alignment vertical="center"/>
    </xf>
    <xf numFmtId="201" fontId="3" fillId="4" borderId="6" xfId="0" applyNumberFormat="1" applyFont="1" applyFill="1" applyBorder="1" applyAlignment="1">
      <alignment vertical="center"/>
    </xf>
    <xf numFmtId="201" fontId="3" fillId="4" borderId="7" xfId="0" applyNumberFormat="1" applyFont="1" applyFill="1" applyBorder="1" applyAlignment="1">
      <alignment vertical="center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/>
    <xf numFmtId="0" fontId="5" fillId="3" borderId="9" xfId="0" applyNumberFormat="1" applyFont="1" applyFill="1" applyBorder="1"/>
    <xf numFmtId="0" fontId="5" fillId="3" borderId="9" xfId="0" applyNumberFormat="1" applyFont="1" applyFill="1" applyBorder="1" applyAlignment="1">
      <alignment wrapText="1"/>
    </xf>
    <xf numFmtId="0" fontId="5" fillId="3" borderId="9" xfId="0" applyNumberFormat="1" applyFont="1" applyFill="1" applyBorder="1" applyAlignment="1">
      <alignment horizont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6" borderId="9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/>
    <xf numFmtId="0" fontId="6" fillId="2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/>
    <xf numFmtId="0" fontId="7" fillId="0" borderId="7" xfId="0" applyNumberFormat="1" applyFont="1" applyFill="1" applyBorder="1"/>
    <xf numFmtId="0" fontId="7" fillId="0" borderId="10" xfId="0" applyNumberFormat="1" applyFont="1" applyFill="1" applyBorder="1"/>
    <xf numFmtId="0" fontId="7" fillId="0" borderId="7" xfId="0" applyNumberFormat="1" applyFont="1" applyFill="1" applyBorder="1" applyAlignment="1">
      <alignment vertical="center"/>
    </xf>
    <xf numFmtId="0" fontId="7" fillId="0" borderId="10" xfId="0" applyNumberFormat="1" applyFont="1" applyFill="1" applyBorder="1" applyAlignment="1">
      <alignment vertical="center"/>
    </xf>
    <xf numFmtId="0" fontId="7" fillId="0" borderId="7" xfId="0" applyNumberFormat="1" applyFont="1" applyFill="1" applyBorder="1" applyAlignment="1">
      <alignment vertical="center" wrapText="1"/>
    </xf>
    <xf numFmtId="0" fontId="7" fillId="0" borderId="10" xfId="0" applyNumberFormat="1" applyFont="1" applyFill="1" applyBorder="1" applyAlignment="1">
      <alignment vertical="center" wrapText="1"/>
    </xf>
    <xf numFmtId="202" fontId="7" fillId="0" borderId="7" xfId="0" applyNumberFormat="1" applyFont="1" applyFill="1" applyBorder="1" applyAlignment="1">
      <alignment vertical="center"/>
    </xf>
    <xf numFmtId="202" fontId="7" fillId="0" borderId="10" xfId="0" applyNumberFormat="1" applyFont="1" applyFill="1" applyBorder="1" applyAlignment="1">
      <alignment vertical="center"/>
    </xf>
    <xf numFmtId="201" fontId="7" fillId="0" borderId="7" xfId="0" applyNumberFormat="1" applyFont="1" applyFill="1" applyBorder="1" applyAlignment="1">
      <alignment vertical="center"/>
    </xf>
    <xf numFmtId="201" fontId="7" fillId="0" borderId="10" xfId="0" applyNumberFormat="1" applyFont="1" applyFill="1" applyBorder="1" applyAlignment="1">
      <alignment vertical="center"/>
    </xf>
    <xf numFmtId="203" fontId="7" fillId="0" borderId="7" xfId="0" applyNumberFormat="1" applyFont="1" applyFill="1" applyBorder="1" applyAlignment="1">
      <alignment vertical="center"/>
    </xf>
    <xf numFmtId="203" fontId="7" fillId="0" borderId="10" xfId="0" applyNumberFormat="1" applyFont="1" applyFill="1" applyBorder="1" applyAlignment="1">
      <alignment vertical="center"/>
    </xf>
    <xf numFmtId="0" fontId="7" fillId="4" borderId="7" xfId="0" applyNumberFormat="1" applyFont="1" applyFill="1" applyBorder="1" applyAlignment="1">
      <alignment vertical="center"/>
    </xf>
    <xf numFmtId="0" fontId="7" fillId="4" borderId="10" xfId="0" applyNumberFormat="1" applyFont="1" applyFill="1" applyBorder="1" applyAlignment="1">
      <alignment vertical="center"/>
    </xf>
    <xf numFmtId="202" fontId="7" fillId="7" borderId="7" xfId="0" applyNumberFormat="1" applyFont="1" applyFill="1" applyBorder="1" applyAlignment="1">
      <alignment vertical="center"/>
    </xf>
    <xf numFmtId="201" fontId="7" fillId="7" borderId="7" xfId="0" applyNumberFormat="1" applyFont="1" applyFill="1" applyBorder="1" applyAlignment="1">
      <alignment vertical="center"/>
    </xf>
    <xf numFmtId="202" fontId="7" fillId="7" borderId="10" xfId="0" applyNumberFormat="1" applyFont="1" applyFill="1" applyBorder="1" applyAlignment="1">
      <alignment vertical="center"/>
    </xf>
    <xf numFmtId="201" fontId="7" fillId="7" borderId="10" xfId="0" applyNumberFormat="1" applyFont="1" applyFill="1" applyBorder="1" applyAlignment="1">
      <alignment vertical="center"/>
    </xf>
    <xf numFmtId="0" fontId="8" fillId="5" borderId="0" xfId="0" applyNumberFormat="1" applyFont="1" applyFill="1" applyBorder="1"/>
    <xf numFmtId="0" fontId="8" fillId="5" borderId="11" xfId="0" applyNumberFormat="1" applyFont="1" applyFill="1" applyBorder="1"/>
    <xf numFmtId="0" fontId="8" fillId="5" borderId="12" xfId="0" applyNumberFormat="1" applyFont="1" applyFill="1" applyBorder="1"/>
    <xf numFmtId="0" fontId="8" fillId="5" borderId="13" xfId="0" applyNumberFormat="1" applyFont="1" applyFill="1" applyBorder="1"/>
    <xf numFmtId="202" fontId="8" fillId="5" borderId="12" xfId="0" applyNumberFormat="1" applyFont="1" applyFill="1" applyBorder="1"/>
    <xf numFmtId="202" fontId="8" fillId="5" borderId="13" xfId="0" applyNumberFormat="1" applyFont="1" applyFill="1" applyBorder="1"/>
    <xf numFmtId="0" fontId="0" fillId="8" borderId="0" xfId="0" applyNumberFormat="1" applyFont="1" applyFill="1" applyBorder="1"/>
    <xf numFmtId="0" fontId="9" fillId="8" borderId="0" xfId="0" applyNumberFormat="1" applyFont="1" applyFill="1" applyBorder="1"/>
    <xf numFmtId="0" fontId="9" fillId="8" borderId="14" xfId="0" applyNumberFormat="1" applyFont="1" applyFill="1" applyBorder="1"/>
    <xf numFmtId="0" fontId="9" fillId="8" borderId="15" xfId="0" applyNumberFormat="1" applyFont="1" applyFill="1" applyBorder="1"/>
    <xf numFmtId="0" fontId="9" fillId="8" borderId="16" xfId="0" applyNumberFormat="1" applyFont="1" applyFill="1" applyBorder="1"/>
    <xf numFmtId="0" fontId="9" fillId="8" borderId="17" xfId="0" applyNumberFormat="1" applyFont="1" applyFill="1" applyBorder="1"/>
    <xf numFmtId="0" fontId="9" fillId="8" borderId="18" xfId="0" applyNumberFormat="1" applyFont="1" applyFill="1" applyBorder="1"/>
    <xf numFmtId="0" fontId="9" fillId="8" borderId="19" xfId="0" applyNumberFormat="1" applyFont="1" applyFill="1" applyBorder="1"/>
    <xf numFmtId="0" fontId="9" fillId="8" borderId="20" xfId="0" applyNumberFormat="1" applyFont="1" applyFill="1" applyBorder="1"/>
    <xf numFmtId="0" fontId="9" fillId="8" borderId="21" xfId="0" applyNumberFormat="1" applyFont="1" applyFill="1" applyBorder="1"/>
    <xf numFmtId="0" fontId="0" fillId="6" borderId="0" xfId="0" applyNumberFormat="1" applyFont="1" applyFill="1" applyBorder="1"/>
    <xf numFmtId="0" fontId="10" fillId="6" borderId="0" xfId="0" applyNumberFormat="1" applyFont="1" applyFill="1" applyBorder="1"/>
    <xf numFmtId="0" fontId="10" fillId="6" borderId="22" xfId="0" applyNumberFormat="1" applyFont="1" applyFill="1" applyBorder="1"/>
    <xf numFmtId="0" fontId="10" fillId="6" borderId="23" xfId="0" applyNumberFormat="1" applyFont="1" applyFill="1" applyBorder="1"/>
    <xf numFmtId="0" fontId="10" fillId="6" borderId="24" xfId="0" applyNumberFormat="1" applyFont="1" applyFill="1" applyBorder="1"/>
    <xf numFmtId="202" fontId="9" fillId="8" borderId="16" xfId="0" applyNumberFormat="1" applyFont="1" applyFill="1" applyBorder="1"/>
    <xf numFmtId="202" fontId="9" fillId="8" borderId="18" xfId="0" applyNumberFormat="1" applyFont="1" applyFill="1" applyBorder="1"/>
    <xf numFmtId="202" fontId="9" fillId="8" borderId="21" xfId="0" applyNumberFormat="1" applyFont="1" applyFill="1" applyBorder="1"/>
    <xf numFmtId="202" fontId="10" fillId="6" borderId="24" xfId="0" applyNumberFormat="1" applyFont="1" applyFill="1" applyBorder="1"/>
    <xf numFmtId="0" fontId="11" fillId="2" borderId="0" xfId="0" applyNumberFormat="1" applyFont="1" applyFill="1" applyBorder="1"/>
    <xf numFmtId="0" fontId="11" fillId="2" borderId="0" xfId="0" applyNumberFormat="1" applyFont="1" applyFill="1" applyBorder="1" applyAlignment="1">
      <alignment horizontal="center"/>
    </xf>
    <xf numFmtId="0" fontId="11" fillId="2" borderId="0" xfId="0" applyNumberFormat="1" applyFont="1" applyFill="1" applyBorder="1" applyAlignment="1">
      <alignment horizontal="center" vertical="center"/>
    </xf>
    <xf numFmtId="0" fontId="7" fillId="4" borderId="0" xfId="0" applyNumberFormat="1" applyFont="1" applyFill="1" applyBorder="1"/>
    <xf numFmtId="0" fontId="5" fillId="3" borderId="0" xfId="0" applyNumberFormat="1" applyFont="1" applyFill="1" applyBorder="1" applyAlignment="1">
      <alignment wrapText="1"/>
    </xf>
    <xf numFmtId="0" fontId="5" fillId="3" borderId="0" xfId="0" applyNumberFormat="1" applyFont="1" applyFill="1" applyBorder="1" applyAlignment="1">
      <alignment horizontal="center" wrapText="1"/>
    </xf>
    <xf numFmtId="0" fontId="5" fillId="3" borderId="0" xfId="0" applyNumberFormat="1" applyFont="1" applyFill="1" applyBorder="1" applyAlignment="1">
      <alignment horizontal="center" vertical="center" wrapText="1"/>
    </xf>
    <xf numFmtId="202" fontId="0" fillId="0" borderId="0" xfId="0" applyNumberFormat="1" applyFont="1" applyFill="1" applyBorder="1"/>
    <xf numFmtId="201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7" fillId="0" borderId="2" xfId="0" applyNumberFormat="1" applyFont="1" applyFill="1" applyBorder="1"/>
    <xf numFmtId="0" fontId="7" fillId="0" borderId="7" xfId="0" applyNumberFormat="1" applyFont="1" applyFill="1" applyBorder="1" applyAlignment="1">
      <alignment vertical="top"/>
    </xf>
    <xf numFmtId="0" fontId="7" fillId="0" borderId="10" xfId="0" applyNumberFormat="1" applyFont="1" applyFill="1" applyBorder="1" applyAlignment="1">
      <alignment vertical="top"/>
    </xf>
    <xf numFmtId="0" fontId="7" fillId="0" borderId="2" xfId="0" applyNumberFormat="1" applyFont="1" applyFill="1" applyBorder="1" applyAlignment="1">
      <alignment vertical="top"/>
    </xf>
    <xf numFmtId="0" fontId="7" fillId="0" borderId="7" xfId="0" applyNumberFormat="1" applyFont="1" applyFill="1" applyBorder="1" applyAlignment="1">
      <alignment vertical="top" wrapText="1"/>
    </xf>
    <xf numFmtId="0" fontId="7" fillId="0" borderId="10" xfId="0" applyNumberFormat="1" applyFont="1" applyFill="1" applyBorder="1" applyAlignment="1">
      <alignment vertical="top" wrapText="1"/>
    </xf>
    <xf numFmtId="0" fontId="7" fillId="0" borderId="2" xfId="0" applyNumberFormat="1" applyFont="1" applyFill="1" applyBorder="1" applyAlignment="1">
      <alignment vertical="top" wrapText="1"/>
    </xf>
    <xf numFmtId="0" fontId="9" fillId="5" borderId="0" xfId="0" applyNumberFormat="1" applyFont="1" applyFill="1" applyBorder="1"/>
    <xf numFmtId="0" fontId="12" fillId="5" borderId="0" xfId="0" applyNumberFormat="1" applyFont="1" applyFill="1" applyBorder="1"/>
    <xf numFmtId="0" fontId="13" fillId="0" borderId="0" xfId="0" applyNumberFormat="1" applyFont="1" applyFill="1" applyBorder="1"/>
    <xf numFmtId="0" fontId="12" fillId="5" borderId="7" xfId="0" applyNumberFormat="1" applyFont="1" applyFill="1" applyBorder="1"/>
    <xf numFmtId="0" fontId="13" fillId="0" borderId="10" xfId="0" applyNumberFormat="1" applyFont="1" applyFill="1" applyBorder="1"/>
    <xf numFmtId="0" fontId="13" fillId="0" borderId="2" xfId="0" applyNumberFormat="1" applyFont="1" applyFill="1" applyBorder="1"/>
    <xf numFmtId="0" fontId="12" fillId="5" borderId="7" xfId="0" applyNumberFormat="1" applyFont="1" applyFill="1" applyBorder="1" applyAlignment="1">
      <alignment wrapText="1"/>
    </xf>
    <xf numFmtId="0" fontId="13" fillId="0" borderId="10" xfId="0" applyNumberFormat="1" applyFont="1" applyFill="1" applyBorder="1" applyAlignment="1">
      <alignment wrapText="1"/>
    </xf>
    <xf numFmtId="0" fontId="13" fillId="0" borderId="2" xfId="0" applyNumberFormat="1" applyFont="1" applyFill="1" applyBorder="1" applyAlignment="1">
      <alignment wrapText="1"/>
    </xf>
    <xf numFmtId="0" fontId="12" fillId="5" borderId="7" xfId="0" applyNumberFormat="1" applyFont="1" applyFill="1" applyBorder="1" applyAlignment="1">
      <alignment vertical="top" wrapText="1"/>
    </xf>
    <xf numFmtId="0" fontId="13" fillId="0" borderId="10" xfId="0" applyNumberFormat="1" applyFont="1" applyFill="1" applyBorder="1" applyAlignment="1">
      <alignment vertical="top" wrapText="1"/>
    </xf>
    <xf numFmtId="0" fontId="13" fillId="0" borderId="2" xfId="0" applyNumberFormat="1" applyFont="1" applyFill="1" applyBorder="1" applyAlignment="1">
      <alignment vertical="top" wrapText="1"/>
    </xf>
    <xf numFmtId="0" fontId="12" fillId="3" borderId="7" xfId="0" applyNumberFormat="1" applyFont="1" applyFill="1" applyBorder="1" applyAlignment="1">
      <alignment vertical="top" wrapText="1"/>
    </xf>
    <xf numFmtId="0" fontId="13" fillId="3" borderId="10" xfId="0" applyNumberFormat="1" applyFont="1" applyFill="1" applyBorder="1" applyAlignment="1">
      <alignment vertical="top" wrapText="1"/>
    </xf>
    <xf numFmtId="0" fontId="13" fillId="3" borderId="2" xfId="0" applyNumberFormat="1" applyFont="1" applyFill="1" applyBorder="1" applyAlignment="1">
      <alignment vertical="top" wrapText="1"/>
    </xf>
    <xf numFmtId="0" fontId="5" fillId="3" borderId="7" xfId="0" applyNumberFormat="1" applyFont="1" applyFill="1" applyBorder="1" applyAlignment="1">
      <alignment vertical="top" wrapText="1"/>
    </xf>
    <xf numFmtId="0" fontId="5" fillId="3" borderId="10" xfId="0" applyNumberFormat="1" applyFont="1" applyFill="1" applyBorder="1" applyAlignment="1">
      <alignment vertical="top" wrapText="1"/>
    </xf>
    <xf numFmtId="0" fontId="5" fillId="3" borderId="2" xfId="0" applyNumberFormat="1" applyFont="1" applyFill="1" applyBorder="1" applyAlignment="1">
      <alignment vertical="top" wrapText="1"/>
    </xf>
    <xf numFmtId="0" fontId="7" fillId="0" borderId="7" xfId="0" applyNumberFormat="1" applyFont="1" applyFill="1" applyBorder="1" applyAlignment="1">
      <alignment wrapText="1"/>
    </xf>
    <xf numFmtId="0" fontId="7" fillId="0" borderId="10" xfId="0" applyNumberFormat="1" applyFont="1" applyFill="1" applyBorder="1" applyAlignment="1">
      <alignment wrapText="1"/>
    </xf>
    <xf numFmtId="0" fontId="7" fillId="0" borderId="2" xfId="0" applyNumberFormat="1" applyFont="1" applyFill="1" applyBorder="1" applyAlignment="1">
      <alignment wrapText="1"/>
    </xf>
    <xf numFmtId="204" fontId="7" fillId="0" borderId="7" xfId="0" applyNumberFormat="1" applyFont="1" applyFill="1" applyBorder="1" applyAlignment="1">
      <alignment vertical="top" wrapText="1"/>
    </xf>
    <xf numFmtId="204" fontId="7" fillId="0" borderId="10" xfId="0" applyNumberFormat="1" applyFont="1" applyFill="1" applyBorder="1" applyAlignment="1">
      <alignment vertical="top" wrapText="1"/>
    </xf>
    <xf numFmtId="204" fontId="7" fillId="0" borderId="2" xfId="0" applyNumberFormat="1" applyFont="1" applyFill="1" applyBorder="1" applyAlignment="1">
      <alignment vertical="top" wrapText="1"/>
    </xf>
    <xf numFmtId="0" fontId="2" fillId="6" borderId="0" xfId="0" applyNumberFormat="1" applyFont="1" applyFill="1" applyBorder="1"/>
    <xf numFmtId="0" fontId="0" fillId="4" borderId="1" xfId="0" applyNumberFormat="1" applyFont="1" applyFill="1" applyBorder="1"/>
    <xf numFmtId="0" fontId="0" fillId="4" borderId="3" xfId="0" applyNumberFormat="1" applyFont="1" applyFill="1" applyBorder="1"/>
    <xf numFmtId="0" fontId="0" fillId="4" borderId="4" xfId="0" applyNumberFormat="1" applyFont="1" applyFill="1" applyBorder="1"/>
    <xf numFmtId="0" fontId="0" fillId="4" borderId="5" xfId="0" applyNumberFormat="1" applyFont="1" applyFill="1" applyBorder="1"/>
    <xf numFmtId="0" fontId="0" fillId="4" borderId="6" xfId="0" applyNumberFormat="1" applyFont="1" applyFill="1" applyBorder="1"/>
    <xf numFmtId="0" fontId="0" fillId="4" borderId="8" xfId="0" applyNumberFormat="1" applyFont="1" applyFill="1" applyBorder="1"/>
    <xf numFmtId="0" fontId="0" fillId="4" borderId="2" xfId="0" applyNumberFormat="1" applyFont="1" applyFill="1" applyBorder="1"/>
    <xf numFmtId="0" fontId="0" fillId="4" borderId="7" xfId="0" applyNumberFormat="1" applyFont="1" applyFill="1" applyBorder="1"/>
    <xf numFmtId="202" fontId="0" fillId="4" borderId="2" xfId="0" applyNumberFormat="1" applyFont="1" applyFill="1" applyBorder="1"/>
    <xf numFmtId="201" fontId="0" fillId="4" borderId="0" xfId="0" applyNumberFormat="1" applyFont="1" applyFill="1" applyBorder="1"/>
    <xf numFmtId="201" fontId="0" fillId="4" borderId="7" xfId="0" applyNumberFormat="1" applyFont="1" applyFill="1" applyBorder="1"/>
  </cellXfs>
  <cellStyles count="1">
    <cellStyle name="Normal" xfId="0"/>
  </cellStyles>
  <dxfs count="3">
    <dxf>
      <font>
        <color rgb="FF1E2A32"/>
      </font>
      <fill>
        <patternFill patternType="solid">
          <bgColor rgb="FFFFF0CC"/>
        </patternFill>
      </fill>
    </dxf>
    <dxf>
      <font>
        <b/>
        <color rgb="FFB52828"/>
      </font>
      <fill>
        <patternFill patternType="solid">
          <bgColor rgb="FFF8E8E8"/>
        </patternFill>
      </fill>
    </dxf>
    <dxf>
      <font>
        <b/>
        <color rgb="FF1E2A32"/>
      </font>
      <fill>
        <patternFill patternType="solid">
          <bgColor rgb="FFFFF0CC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641dcd35243b1" /><Relationship Type="http://schemas.openxmlformats.org/officeDocument/2006/relationships/theme" Target="/xl/theme/theme1.xml" Id="R7b8793f235354766" /><Relationship Type="http://schemas.openxmlformats.org/officeDocument/2006/relationships/sharedStrings" Target="/xl/sharedStrings.xml" Id="R1cf00dac6d9b4e4c" /><Relationship Type="http://schemas.openxmlformats.org/officeDocument/2006/relationships/worksheet" Target="/xl/worksheets/sheet1.xml" Id="R2b26ab02d56e4b3d" /><Relationship Type="http://schemas.openxmlformats.org/officeDocument/2006/relationships/worksheet" Target="/xl/worksheets/sheet2.xml" Id="R51ceffd0f4d74894" /><Relationship Type="http://schemas.openxmlformats.org/officeDocument/2006/relationships/worksheet" Target="/xl/worksheets/sheet3.xml" Id="Rb4d032a67da44a7c" /><Relationship Type="http://schemas.openxmlformats.org/officeDocument/2006/relationships/worksheet" Target="/xl/worksheets/sheet4.xml" Id="R08bbc253614f4e61" /><Relationship Type="http://schemas.openxmlformats.org/officeDocument/2006/relationships/worksheet" Target="/xl/worksheets/sheet5.xml" Id="R5d9cff97b74847b5" /></Relationships>
</file>

<file path=xl/tables/table1.xml><?xml version="1.0" encoding="utf-8"?>
<table xmlns="http://schemas.openxmlformats.org/spreadsheetml/2006/main" id="1" name="MaestroPrecios" displayName="MaestroPrecios" ref="A5:R631" headerRowCount="1" totalsRowCount="0" totalsRowShown="0">
  <tableColumns count="18">
    <tableColumn id="1" name="ID"/>
    <tableColumn id="2" name="CAPÍTULO GPT"/>
    <tableColumn id="3" name="CÓDIGO FUENTE"/>
    <tableColumn id="4" name="DESCRIPCIÓN"/>
    <tableColumn id="5" name="UNIDAD"/>
    <tableColumn id="6" name="MATERIALES"/>
    <tableColumn id="7" name="MANO DE OBRA"/>
    <tableColumn id="8" name="EQUIPO"/>
    <tableColumn id="9" name="COSTO DIRECTO"/>
    <tableColumn id="10" name="INDIRECTOS %"/>
    <tableColumn id="11" name="COSTO REFERENCIAL"/>
    <tableColumn id="12" name="UTILIDAD SUGERIDA"/>
    <tableColumn id="13" name="PVP SUGERIDO"/>
    <tableColumn id="14" name="FUENTE"/>
    <tableColumn id="15" name="PERIODO"/>
    <tableColumn id="16" name="ESTADO / VIGENCIA"/>
    <tableColumn id="17" name="FAMILIA ORIGEN"/>
    <tableColumn id="18" name="PALABRAS CLA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1.xml" Id="Rec9046b87c7443ff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48" hidden="0" customWidth="1"/>
    <col min="3" max="3" width="9" hidden="0" customWidth="1"/>
    <col min="4" max="4" width="9" hidden="0" customWidth="1"/>
    <col min="5" max="5" width="13" hidden="0" customWidth="1"/>
    <col min="6" max="6" width="13" hidden="0" customWidth="1"/>
    <col min="7" max="7" width="12" hidden="0" customWidth="1"/>
    <col min="8" max="8" width="12" hidden="0" customWidth="1"/>
    <col min="9" max="9" width="13" hidden="0" customWidth="1"/>
    <col min="10" max="10" width="13" hidden="0" customWidth="1"/>
    <col min="11" max="11" width="12" hidden="0" customWidth="1"/>
    <col min="12" max="12" width="12" hidden="0" customWidth="1"/>
    <col min="13" max="13" width="14" hidden="0" customWidth="1"/>
  </cols>
  <sheetData>
    <row r="1" ht="34" customHeight="1">
      <c r="A1" s="4" t="str">
        <v>COTIZACIÓN PRELIMINAR · PLANTILLA MAESTRA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>
      <c r="A2" s="7" t="str">
        <v>PROYECTO</v>
      </c>
      <c r="B2" s="7"/>
      <c r="C2" s="18" t="str"/>
      <c r="D2" s="19"/>
      <c r="E2" s="19"/>
      <c r="F2" s="20"/>
      <c r="G2" s="7" t="str">
        <v>CLIENTE</v>
      </c>
      <c r="H2" s="7"/>
      <c r="I2" s="18" t="str"/>
      <c r="J2" s="19"/>
      <c r="K2" s="19"/>
      <c r="L2" s="19"/>
      <c r="M2" s="20"/>
    </row>
    <row r="3">
      <c r="A3" s="7" t="str">
        <v>FECHA</v>
      </c>
      <c r="B3" s="7"/>
      <c r="C3" s="27" t="n">
        <v>46246.9697608912</v>
      </c>
      <c r="D3" s="28"/>
      <c r="E3" s="28"/>
      <c r="F3" s="29"/>
      <c r="G3" s="7" t="str">
        <v>ELABORADO</v>
      </c>
      <c r="H3" s="7"/>
      <c r="I3" s="21" t="str">
        <v>AYAlgoritmo · Cotizador GPT</v>
      </c>
      <c r="J3" s="22"/>
      <c r="K3" s="22"/>
      <c r="L3" s="22"/>
      <c r="M3" s="23"/>
    </row>
    <row r="4">
      <c r="A4" s="7" t="str">
        <v>ESTADO</v>
      </c>
      <c r="B4" s="7"/>
      <c r="C4" s="24" t="str">
        <v>PRELIMINAR · REQUIERE REVISIÓN HUMANA</v>
      </c>
      <c r="D4" s="25"/>
      <c r="E4" s="25"/>
      <c r="F4" s="26"/>
      <c r="G4" s="7" t="str">
        <v>IVA</v>
      </c>
      <c r="H4" s="7"/>
      <c r="I4" s="30" t="n">
        <v>0.15</v>
      </c>
      <c r="J4" s="31"/>
      <c r="K4" s="25" t="str">
        <v>USD</v>
      </c>
      <c r="L4" s="25"/>
      <c r="M4" s="26"/>
    </row>
    <row r="6" ht="32" customHeight="1">
      <c r="A6" s="35" t="str">
        <v>Uso: escriba un ID CAM-#### o INT-#### en CÓD para completar descripción, unidad, costo y utilidad desde MAESTRO PRECIOS. Las cantidades y supuestos deben verificarse.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8" ht="31" customHeight="1">
      <c r="A8" s="40" t="str">
        <v>CÓD</v>
      </c>
      <c r="B8" s="40" t="str">
        <v>DESCRIPCIÓN</v>
      </c>
      <c r="C8" s="40" t="str">
        <v>UNID</v>
      </c>
      <c r="D8" s="40" t="str">
        <v>CANT</v>
      </c>
      <c r="E8" s="41" t="str">
        <v>COSTO UNIT</v>
      </c>
      <c r="F8" s="41" t="str">
        <v>COSTO TOTAL</v>
      </c>
      <c r="G8" s="41" t="str">
        <v>% UTILIDAD</v>
      </c>
      <c r="H8" s="41" t="str">
        <v>UTILIDAD</v>
      </c>
      <c r="I8" s="40" t="str">
        <v>PVP UNIT</v>
      </c>
      <c r="J8" s="40" t="str">
        <v>PVP TOTAL</v>
      </c>
      <c r="K8" s="41" t="str">
        <v>% DSCTO</v>
      </c>
      <c r="L8" s="41" t="str">
        <v>DESCUENTO</v>
      </c>
      <c r="M8" s="40" t="str">
        <v>PVP FINAL</v>
      </c>
    </row>
    <row r="9" ht="23" customHeight="1">
      <c r="A9" s="43" t="str">
        <v>01 · MOBILIARIO Y MÓDULOS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</row>
    <row r="10">
      <c r="A10" s="57"/>
      <c r="B10" s="49" t="str">
        <f>IFERROR(VLOOKUP($A10,'MAESTRO PRECIOS'!$A$6:$R$631,4,FALSE),"")</f>
      </c>
      <c r="C10" s="47" t="str">
        <f>IFERROR(VLOOKUP($A10,'MAESTRO PRECIOS'!$A$6:$R$631,5,FALSE),"")</f>
      </c>
      <c r="D10" s="55"/>
      <c r="E10" s="59" t="str">
        <f>IFERROR(VLOOKUP($A10,'MAESTRO PRECIOS'!$A$6:$R$631,11,FALSE),"")</f>
      </c>
      <c r="F10" s="59" t="str">
        <f>IF(OR($D10="",$E10=""),"",$D10*$E10)</f>
      </c>
      <c r="G10" s="60" t="str">
        <f>IFERROR(VLOOKUP($A10,'MAESTRO PRECIOS'!$A$6:$R$631,12,FALSE),"")</f>
      </c>
      <c r="H10" s="59" t="str">
        <f>IF(OR($F10="",$G10=""),"",$F10*$G10)</f>
      </c>
      <c r="I10" s="51" t="str">
        <f>IF(OR($E10="",$G10=""),"",$E10*(1+$G10))</f>
      </c>
      <c r="J10" s="51" t="str">
        <f>IF(OR($D10="",$I10=""),"",$D10*$I10)</f>
      </c>
      <c r="K10" s="60" t="str">
        <f>IF($A10="","",0)</f>
      </c>
      <c r="L10" s="59" t="str">
        <f>IF(OR($J10="",$K10=""),"",$J10*$K10)</f>
      </c>
      <c r="M10" s="51" t="str">
        <f>IF($J10="","",$J10-$L10)</f>
      </c>
    </row>
    <row r="11">
      <c r="A11" s="58"/>
      <c r="B11" s="50" t="str">
        <f>IFERROR(VLOOKUP($A11,'MAESTRO PRECIOS'!$A$6:$R$631,4,FALSE),"")</f>
      </c>
      <c r="C11" s="48" t="str">
        <f>IFERROR(VLOOKUP($A11,'MAESTRO PRECIOS'!$A$6:$R$631,5,FALSE),"")</f>
      </c>
      <c r="D11" s="56"/>
      <c r="E11" s="61" t="str">
        <f>IFERROR(VLOOKUP($A11,'MAESTRO PRECIOS'!$A$6:$R$631,11,FALSE),"")</f>
      </c>
      <c r="F11" s="61" t="str">
        <f>IF(OR($D11="",$E11=""),"",$D11*$E11)</f>
      </c>
      <c r="G11" s="62" t="str">
        <f>IFERROR(VLOOKUP($A11,'MAESTRO PRECIOS'!$A$6:$R$631,12,FALSE),"")</f>
      </c>
      <c r="H11" s="61" t="str">
        <f>IF(OR($F11="",$G11=""),"",$F11*$G11)</f>
      </c>
      <c r="I11" s="52" t="str">
        <f>IF(OR($E11="",$G11=""),"",$E11*(1+$G11))</f>
      </c>
      <c r="J11" s="52" t="str">
        <f>IF(OR($D11="",$I11=""),"",$D11*$I11)</f>
      </c>
      <c r="K11" s="62" t="str">
        <f>IF($A11="","",0)</f>
      </c>
      <c r="L11" s="61" t="str">
        <f>IF(OR($J11="",$K11=""),"",$J11*$K11)</f>
      </c>
      <c r="M11" s="52" t="str">
        <f>IF($J11="","",$J11-$L11)</f>
      </c>
    </row>
    <row r="12">
      <c r="A12" s="58"/>
      <c r="B12" s="50" t="str">
        <f>IFERROR(VLOOKUP($A12,'MAESTRO PRECIOS'!$A$6:$R$631,4,FALSE),"")</f>
      </c>
      <c r="C12" s="48" t="str">
        <f>IFERROR(VLOOKUP($A12,'MAESTRO PRECIOS'!$A$6:$R$631,5,FALSE),"")</f>
      </c>
      <c r="D12" s="56"/>
      <c r="E12" s="61" t="str">
        <f>IFERROR(VLOOKUP($A12,'MAESTRO PRECIOS'!$A$6:$R$631,11,FALSE),"")</f>
      </c>
      <c r="F12" s="61" t="str">
        <f>IF(OR($D12="",$E12=""),"",$D12*$E12)</f>
      </c>
      <c r="G12" s="62" t="str">
        <f>IFERROR(VLOOKUP($A12,'MAESTRO PRECIOS'!$A$6:$R$631,12,FALSE),"")</f>
      </c>
      <c r="H12" s="61" t="str">
        <f>IF(OR($F12="",$G12=""),"",$F12*$G12)</f>
      </c>
      <c r="I12" s="52" t="str">
        <f>IF(OR($E12="",$G12=""),"",$E12*(1+$G12))</f>
      </c>
      <c r="J12" s="52" t="str">
        <f>IF(OR($D12="",$I12=""),"",$D12*$I12)</f>
      </c>
      <c r="K12" s="62" t="str">
        <f>IF($A12="","",0)</f>
      </c>
      <c r="L12" s="61" t="str">
        <f>IF(OR($J12="",$K12=""),"",$J12*$K12)</f>
      </c>
      <c r="M12" s="52" t="str">
        <f>IF($J12="","",$J12-$L12)</f>
      </c>
    </row>
    <row r="13">
      <c r="A13" s="58"/>
      <c r="B13" s="50" t="str">
        <f>IFERROR(VLOOKUP($A13,'MAESTRO PRECIOS'!$A$6:$R$631,4,FALSE),"")</f>
      </c>
      <c r="C13" s="48" t="str">
        <f>IFERROR(VLOOKUP($A13,'MAESTRO PRECIOS'!$A$6:$R$631,5,FALSE),"")</f>
      </c>
      <c r="D13" s="56"/>
      <c r="E13" s="61" t="str">
        <f>IFERROR(VLOOKUP($A13,'MAESTRO PRECIOS'!$A$6:$R$631,11,FALSE),"")</f>
      </c>
      <c r="F13" s="61" t="str">
        <f>IF(OR($D13="",$E13=""),"",$D13*$E13)</f>
      </c>
      <c r="G13" s="62" t="str">
        <f>IFERROR(VLOOKUP($A13,'MAESTRO PRECIOS'!$A$6:$R$631,12,FALSE),"")</f>
      </c>
      <c r="H13" s="61" t="str">
        <f>IF(OR($F13="",$G13=""),"",$F13*$G13)</f>
      </c>
      <c r="I13" s="52" t="str">
        <f>IF(OR($E13="",$G13=""),"",$E13*(1+$G13))</f>
      </c>
      <c r="J13" s="52" t="str">
        <f>IF(OR($D13="",$I13=""),"",$D13*$I13)</f>
      </c>
      <c r="K13" s="62" t="str">
        <f>IF($A13="","",0)</f>
      </c>
      <c r="L13" s="61" t="str">
        <f>IF(OR($J13="",$K13=""),"",$J13*$K13)</f>
      </c>
      <c r="M13" s="52" t="str">
        <f>IF($J13="","",$J13-$L13)</f>
      </c>
    </row>
    <row r="14">
      <c r="A14" s="58"/>
      <c r="B14" s="50" t="str">
        <f>IFERROR(VLOOKUP($A14,'MAESTRO PRECIOS'!$A$6:$R$631,4,FALSE),"")</f>
      </c>
      <c r="C14" s="48" t="str">
        <f>IFERROR(VLOOKUP($A14,'MAESTRO PRECIOS'!$A$6:$R$631,5,FALSE),"")</f>
      </c>
      <c r="D14" s="56"/>
      <c r="E14" s="61" t="str">
        <f>IFERROR(VLOOKUP($A14,'MAESTRO PRECIOS'!$A$6:$R$631,11,FALSE),"")</f>
      </c>
      <c r="F14" s="61" t="str">
        <f>IF(OR($D14="",$E14=""),"",$D14*$E14)</f>
      </c>
      <c r="G14" s="62" t="str">
        <f>IFERROR(VLOOKUP($A14,'MAESTRO PRECIOS'!$A$6:$R$631,12,FALSE),"")</f>
      </c>
      <c r="H14" s="61" t="str">
        <f>IF(OR($F14="",$G14=""),"",$F14*$G14)</f>
      </c>
      <c r="I14" s="52" t="str">
        <f>IF(OR($E14="",$G14=""),"",$E14*(1+$G14))</f>
      </c>
      <c r="J14" s="52" t="str">
        <f>IF(OR($D14="",$I14=""),"",$D14*$I14)</f>
      </c>
      <c r="K14" s="62" t="str">
        <f>IF($A14="","",0)</f>
      </c>
      <c r="L14" s="61" t="str">
        <f>IF(OR($J14="",$K14=""),"",$J14*$K14)</f>
      </c>
      <c r="M14" s="52" t="str">
        <f>IF($J14="","",$J14-$L14)</f>
      </c>
    </row>
    <row r="15">
      <c r="A15" s="58"/>
      <c r="B15" s="50" t="str">
        <f>IFERROR(VLOOKUP($A15,'MAESTRO PRECIOS'!$A$6:$R$631,4,FALSE),"")</f>
      </c>
      <c r="C15" s="48" t="str">
        <f>IFERROR(VLOOKUP($A15,'MAESTRO PRECIOS'!$A$6:$R$631,5,FALSE),"")</f>
      </c>
      <c r="D15" s="56"/>
      <c r="E15" s="61" t="str">
        <f>IFERROR(VLOOKUP($A15,'MAESTRO PRECIOS'!$A$6:$R$631,11,FALSE),"")</f>
      </c>
      <c r="F15" s="61" t="str">
        <f>IF(OR($D15="",$E15=""),"",$D15*$E15)</f>
      </c>
      <c r="G15" s="62" t="str">
        <f>IFERROR(VLOOKUP($A15,'MAESTRO PRECIOS'!$A$6:$R$631,12,FALSE),"")</f>
      </c>
      <c r="H15" s="61" t="str">
        <f>IF(OR($F15="",$G15=""),"",$F15*$G15)</f>
      </c>
      <c r="I15" s="52" t="str">
        <f>IF(OR($E15="",$G15=""),"",$E15*(1+$G15))</f>
      </c>
      <c r="J15" s="52" t="str">
        <f>IF(OR($D15="",$I15=""),"",$D15*$I15)</f>
      </c>
      <c r="K15" s="62" t="str">
        <f>IF($A15="","",0)</f>
      </c>
      <c r="L15" s="61" t="str">
        <f>IF(OR($J15="",$K15=""),"",$J15*$K15)</f>
      </c>
      <c r="M15" s="52" t="str">
        <f>IF($J15="","",$J15-$L15)</f>
      </c>
    </row>
    <row r="16">
      <c r="A16" s="58"/>
      <c r="B16" s="50" t="str">
        <f>IFERROR(VLOOKUP($A16,'MAESTRO PRECIOS'!$A$6:$R$631,4,FALSE),"")</f>
      </c>
      <c r="C16" s="48" t="str">
        <f>IFERROR(VLOOKUP($A16,'MAESTRO PRECIOS'!$A$6:$R$631,5,FALSE),"")</f>
      </c>
      <c r="D16" s="56"/>
      <c r="E16" s="61" t="str">
        <f>IFERROR(VLOOKUP($A16,'MAESTRO PRECIOS'!$A$6:$R$631,11,FALSE),"")</f>
      </c>
      <c r="F16" s="61" t="str">
        <f>IF(OR($D16="",$E16=""),"",$D16*$E16)</f>
      </c>
      <c r="G16" s="62" t="str">
        <f>IFERROR(VLOOKUP($A16,'MAESTRO PRECIOS'!$A$6:$R$631,12,FALSE),"")</f>
      </c>
      <c r="H16" s="61" t="str">
        <f>IF(OR($F16="",$G16=""),"",$F16*$G16)</f>
      </c>
      <c r="I16" s="52" t="str">
        <f>IF(OR($E16="",$G16=""),"",$E16*(1+$G16))</f>
      </c>
      <c r="J16" s="52" t="str">
        <f>IF(OR($D16="",$I16=""),"",$D16*$I16)</f>
      </c>
      <c r="K16" s="62" t="str">
        <f>IF($A16="","",0)</f>
      </c>
      <c r="L16" s="61" t="str">
        <f>IF(OR($J16="",$K16=""),"",$J16*$K16)</f>
      </c>
      <c r="M16" s="52" t="str">
        <f>IF($J16="","",$J16-$L16)</f>
      </c>
    </row>
    <row r="17">
      <c r="A17" s="58"/>
      <c r="B17" s="50" t="str">
        <f>IFERROR(VLOOKUP($A17,'MAESTRO PRECIOS'!$A$6:$R$631,4,FALSE),"")</f>
      </c>
      <c r="C17" s="48" t="str">
        <f>IFERROR(VLOOKUP($A17,'MAESTRO PRECIOS'!$A$6:$R$631,5,FALSE),"")</f>
      </c>
      <c r="D17" s="56"/>
      <c r="E17" s="61" t="str">
        <f>IFERROR(VLOOKUP($A17,'MAESTRO PRECIOS'!$A$6:$R$631,11,FALSE),"")</f>
      </c>
      <c r="F17" s="61" t="str">
        <f>IF(OR($D17="",$E17=""),"",$D17*$E17)</f>
      </c>
      <c r="G17" s="62" t="str">
        <f>IFERROR(VLOOKUP($A17,'MAESTRO PRECIOS'!$A$6:$R$631,12,FALSE),"")</f>
      </c>
      <c r="H17" s="61" t="str">
        <f>IF(OR($F17="",$G17=""),"",$F17*$G17)</f>
      </c>
      <c r="I17" s="52" t="str">
        <f>IF(OR($E17="",$G17=""),"",$E17*(1+$G17))</f>
      </c>
      <c r="J17" s="52" t="str">
        <f>IF(OR($D17="",$I17=""),"",$D17*$I17)</f>
      </c>
      <c r="K17" s="62" t="str">
        <f>IF($A17="","",0)</f>
      </c>
      <c r="L17" s="61" t="str">
        <f>IF(OR($J17="",$K17=""),"",$J17*$K17)</f>
      </c>
      <c r="M17" s="52" t="str">
        <f>IF($J17="","",$J17-$L17)</f>
      </c>
    </row>
    <row r="18">
      <c r="A18" s="58"/>
      <c r="B18" s="50" t="str">
        <f>IFERROR(VLOOKUP($A18,'MAESTRO PRECIOS'!$A$6:$R$631,4,FALSE),"")</f>
      </c>
      <c r="C18" s="48" t="str">
        <f>IFERROR(VLOOKUP($A18,'MAESTRO PRECIOS'!$A$6:$R$631,5,FALSE),"")</f>
      </c>
      <c r="D18" s="56"/>
      <c r="E18" s="61" t="str">
        <f>IFERROR(VLOOKUP($A18,'MAESTRO PRECIOS'!$A$6:$R$631,11,FALSE),"")</f>
      </c>
      <c r="F18" s="61" t="str">
        <f>IF(OR($D18="",$E18=""),"",$D18*$E18)</f>
      </c>
      <c r="G18" s="62" t="str">
        <f>IFERROR(VLOOKUP($A18,'MAESTRO PRECIOS'!$A$6:$R$631,12,FALSE),"")</f>
      </c>
      <c r="H18" s="61" t="str">
        <f>IF(OR($F18="",$G18=""),"",$F18*$G18)</f>
      </c>
      <c r="I18" s="52" t="str">
        <f>IF(OR($E18="",$G18=""),"",$E18*(1+$G18))</f>
      </c>
      <c r="J18" s="52" t="str">
        <f>IF(OR($D18="",$I18=""),"",$D18*$I18)</f>
      </c>
      <c r="K18" s="62" t="str">
        <f>IF($A18="","",0)</f>
      </c>
      <c r="L18" s="61" t="str">
        <f>IF(OR($J18="",$K18=""),"",$J18*$K18)</f>
      </c>
      <c r="M18" s="52" t="str">
        <f>IF($J18="","",$J18-$L18)</f>
      </c>
    </row>
    <row r="19">
      <c r="A19" s="58"/>
      <c r="B19" s="50" t="str">
        <f>IFERROR(VLOOKUP($A19,'MAESTRO PRECIOS'!$A$6:$R$631,4,FALSE),"")</f>
      </c>
      <c r="C19" s="48" t="str">
        <f>IFERROR(VLOOKUP($A19,'MAESTRO PRECIOS'!$A$6:$R$631,5,FALSE),"")</f>
      </c>
      <c r="D19" s="56"/>
      <c r="E19" s="61" t="str">
        <f>IFERROR(VLOOKUP($A19,'MAESTRO PRECIOS'!$A$6:$R$631,11,FALSE),"")</f>
      </c>
      <c r="F19" s="61" t="str">
        <f>IF(OR($D19="",$E19=""),"",$D19*$E19)</f>
      </c>
      <c r="G19" s="62" t="str">
        <f>IFERROR(VLOOKUP($A19,'MAESTRO PRECIOS'!$A$6:$R$631,12,FALSE),"")</f>
      </c>
      <c r="H19" s="61" t="str">
        <f>IF(OR($F19="",$G19=""),"",$F19*$G19)</f>
      </c>
      <c r="I19" s="52" t="str">
        <f>IF(OR($E19="",$G19=""),"",$E19*(1+$G19))</f>
      </c>
      <c r="J19" s="52" t="str">
        <f>IF(OR($D19="",$I19=""),"",$D19*$I19)</f>
      </c>
      <c r="K19" s="62" t="str">
        <f>IF($A19="","",0)</f>
      </c>
      <c r="L19" s="61" t="str">
        <f>IF(OR($J19="",$K19=""),"",$J19*$K19)</f>
      </c>
      <c r="M19" s="52" t="str">
        <f>IF($J19="","",$J19-$L19)</f>
      </c>
    </row>
    <row r="20">
      <c r="A20" s="58"/>
      <c r="B20" s="50" t="str">
        <f>IFERROR(VLOOKUP($A20,'MAESTRO PRECIOS'!$A$6:$R$631,4,FALSE),"")</f>
      </c>
      <c r="C20" s="48" t="str">
        <f>IFERROR(VLOOKUP($A20,'MAESTRO PRECIOS'!$A$6:$R$631,5,FALSE),"")</f>
      </c>
      <c r="D20" s="56"/>
      <c r="E20" s="61" t="str">
        <f>IFERROR(VLOOKUP($A20,'MAESTRO PRECIOS'!$A$6:$R$631,11,FALSE),"")</f>
      </c>
      <c r="F20" s="61" t="str">
        <f>IF(OR($D20="",$E20=""),"",$D20*$E20)</f>
      </c>
      <c r="G20" s="62" t="str">
        <f>IFERROR(VLOOKUP($A20,'MAESTRO PRECIOS'!$A$6:$R$631,12,FALSE),"")</f>
      </c>
      <c r="H20" s="61" t="str">
        <f>IF(OR($F20="",$G20=""),"",$F20*$G20)</f>
      </c>
      <c r="I20" s="52" t="str">
        <f>IF(OR($E20="",$G20=""),"",$E20*(1+$G20))</f>
      </c>
      <c r="J20" s="52" t="str">
        <f>IF(OR($D20="",$I20=""),"",$D20*$I20)</f>
      </c>
      <c r="K20" s="62" t="str">
        <f>IF($A20="","",0)</f>
      </c>
      <c r="L20" s="61" t="str">
        <f>IF(OR($J20="",$K20=""),"",$J20*$K20)</f>
      </c>
      <c r="M20" s="52" t="str">
        <f>IF($J20="","",$J20-$L20)</f>
      </c>
    </row>
    <row r="21">
      <c r="A21" s="58"/>
      <c r="B21" s="50" t="str">
        <f>IFERROR(VLOOKUP($A21,'MAESTRO PRECIOS'!$A$6:$R$631,4,FALSE),"")</f>
      </c>
      <c r="C21" s="48" t="str">
        <f>IFERROR(VLOOKUP($A21,'MAESTRO PRECIOS'!$A$6:$R$631,5,FALSE),"")</f>
      </c>
      <c r="D21" s="56"/>
      <c r="E21" s="61" t="str">
        <f>IFERROR(VLOOKUP($A21,'MAESTRO PRECIOS'!$A$6:$R$631,11,FALSE),"")</f>
      </c>
      <c r="F21" s="61" t="str">
        <f>IF(OR($D21="",$E21=""),"",$D21*$E21)</f>
      </c>
      <c r="G21" s="62" t="str">
        <f>IFERROR(VLOOKUP($A21,'MAESTRO PRECIOS'!$A$6:$R$631,12,FALSE),"")</f>
      </c>
      <c r="H21" s="61" t="str">
        <f>IF(OR($F21="",$G21=""),"",$F21*$G21)</f>
      </c>
      <c r="I21" s="52" t="str">
        <f>IF(OR($E21="",$G21=""),"",$E21*(1+$G21))</f>
      </c>
      <c r="J21" s="52" t="str">
        <f>IF(OR($D21="",$I21=""),"",$D21*$I21)</f>
      </c>
      <c r="K21" s="62" t="str">
        <f>IF($A21="","",0)</f>
      </c>
      <c r="L21" s="61" t="str">
        <f>IF(OR($J21="",$K21=""),"",$J21*$K21)</f>
      </c>
      <c r="M21" s="52" t="str">
        <f>IF($J21="","",$J21-$L21)</f>
      </c>
    </row>
    <row r="22">
      <c r="A22" s="64" t="str">
        <v>SUBTOTAL · MOBILIARIO Y MÓDULOS</v>
      </c>
      <c r="B22" s="65"/>
      <c r="C22" s="65"/>
      <c r="D22" s="65"/>
      <c r="E22" s="65"/>
      <c r="F22" s="67" t="n">
        <f>SUM(F10:F21)</f>
        <v>0</v>
      </c>
      <c r="G22" s="67"/>
      <c r="H22" s="67" t="n">
        <f>SUM(H10:H21)</f>
        <v>0</v>
      </c>
      <c r="I22" s="67"/>
      <c r="J22" s="67" t="n">
        <f>SUM(J10:J21)</f>
        <v>0</v>
      </c>
      <c r="K22" s="67"/>
      <c r="L22" s="67" t="n">
        <f>SUM(L10:L21)</f>
        <v>0</v>
      </c>
      <c r="M22" s="68" t="n">
        <f>SUM(M10:M21)</f>
        <v>0</v>
      </c>
    </row>
    <row r="24" ht="23" customHeight="1">
      <c r="A24" s="43" t="str">
        <v>02 · ROTULACIÓN Y SEÑALÉTICA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>
      <c r="A25" s="57"/>
      <c r="B25" s="49" t="str">
        <f>IFERROR(VLOOKUP($A25,'MAESTRO PRECIOS'!$A$6:$R$631,4,FALSE),"")</f>
      </c>
      <c r="C25" s="47" t="str">
        <f>IFERROR(VLOOKUP($A25,'MAESTRO PRECIOS'!$A$6:$R$631,5,FALSE),"")</f>
      </c>
      <c r="D25" s="55"/>
      <c r="E25" s="59" t="str">
        <f>IFERROR(VLOOKUP($A25,'MAESTRO PRECIOS'!$A$6:$R$631,11,FALSE),"")</f>
      </c>
      <c r="F25" s="59" t="str">
        <f>IF(OR($D25="",$E25=""),"",$D25*$E25)</f>
      </c>
      <c r="G25" s="60" t="str">
        <f>IFERROR(VLOOKUP($A25,'MAESTRO PRECIOS'!$A$6:$R$631,12,FALSE),"")</f>
      </c>
      <c r="H25" s="59" t="str">
        <f>IF(OR($F25="",$G25=""),"",$F25*$G25)</f>
      </c>
      <c r="I25" s="51" t="str">
        <f>IF(OR($E25="",$G25=""),"",$E25*(1+$G25))</f>
      </c>
      <c r="J25" s="51" t="str">
        <f>IF(OR($D25="",$I25=""),"",$D25*$I25)</f>
      </c>
      <c r="K25" s="60" t="str">
        <f>IF($A25="","",0)</f>
      </c>
      <c r="L25" s="59" t="str">
        <f>IF(OR($J25="",$K25=""),"",$J25*$K25)</f>
      </c>
      <c r="M25" s="51" t="str">
        <f>IF($J25="","",$J25-$L25)</f>
      </c>
    </row>
    <row r="26">
      <c r="A26" s="58"/>
      <c r="B26" s="50" t="str">
        <f>IFERROR(VLOOKUP($A26,'MAESTRO PRECIOS'!$A$6:$R$631,4,FALSE),"")</f>
      </c>
      <c r="C26" s="48" t="str">
        <f>IFERROR(VLOOKUP($A26,'MAESTRO PRECIOS'!$A$6:$R$631,5,FALSE),"")</f>
      </c>
      <c r="D26" s="56"/>
      <c r="E26" s="61" t="str">
        <f>IFERROR(VLOOKUP($A26,'MAESTRO PRECIOS'!$A$6:$R$631,11,FALSE),"")</f>
      </c>
      <c r="F26" s="61" t="str">
        <f>IF(OR($D26="",$E26=""),"",$D26*$E26)</f>
      </c>
      <c r="G26" s="62" t="str">
        <f>IFERROR(VLOOKUP($A26,'MAESTRO PRECIOS'!$A$6:$R$631,12,FALSE),"")</f>
      </c>
      <c r="H26" s="61" t="str">
        <f>IF(OR($F26="",$G26=""),"",$F26*$G26)</f>
      </c>
      <c r="I26" s="52" t="str">
        <f>IF(OR($E26="",$G26=""),"",$E26*(1+$G26))</f>
      </c>
      <c r="J26" s="52" t="str">
        <f>IF(OR($D26="",$I26=""),"",$D26*$I26)</f>
      </c>
      <c r="K26" s="62" t="str">
        <f>IF($A26="","",0)</f>
      </c>
      <c r="L26" s="61" t="str">
        <f>IF(OR($J26="",$K26=""),"",$J26*$K26)</f>
      </c>
      <c r="M26" s="52" t="str">
        <f>IF($J26="","",$J26-$L26)</f>
      </c>
    </row>
    <row r="27">
      <c r="A27" s="58"/>
      <c r="B27" s="50" t="str">
        <f>IFERROR(VLOOKUP($A27,'MAESTRO PRECIOS'!$A$6:$R$631,4,FALSE),"")</f>
      </c>
      <c r="C27" s="48" t="str">
        <f>IFERROR(VLOOKUP($A27,'MAESTRO PRECIOS'!$A$6:$R$631,5,FALSE),"")</f>
      </c>
      <c r="D27" s="56"/>
      <c r="E27" s="61" t="str">
        <f>IFERROR(VLOOKUP($A27,'MAESTRO PRECIOS'!$A$6:$R$631,11,FALSE),"")</f>
      </c>
      <c r="F27" s="61" t="str">
        <f>IF(OR($D27="",$E27=""),"",$D27*$E27)</f>
      </c>
      <c r="G27" s="62" t="str">
        <f>IFERROR(VLOOKUP($A27,'MAESTRO PRECIOS'!$A$6:$R$631,12,FALSE),"")</f>
      </c>
      <c r="H27" s="61" t="str">
        <f>IF(OR($F27="",$G27=""),"",$F27*$G27)</f>
      </c>
      <c r="I27" s="52" t="str">
        <f>IF(OR($E27="",$G27=""),"",$E27*(1+$G27))</f>
      </c>
      <c r="J27" s="52" t="str">
        <f>IF(OR($D27="",$I27=""),"",$D27*$I27)</f>
      </c>
      <c r="K27" s="62" t="str">
        <f>IF($A27="","",0)</f>
      </c>
      <c r="L27" s="61" t="str">
        <f>IF(OR($J27="",$K27=""),"",$J27*$K27)</f>
      </c>
      <c r="M27" s="52" t="str">
        <f>IF($J27="","",$J27-$L27)</f>
      </c>
    </row>
    <row r="28">
      <c r="A28" s="58"/>
      <c r="B28" s="50" t="str">
        <f>IFERROR(VLOOKUP($A28,'MAESTRO PRECIOS'!$A$6:$R$631,4,FALSE),"")</f>
      </c>
      <c r="C28" s="48" t="str">
        <f>IFERROR(VLOOKUP($A28,'MAESTRO PRECIOS'!$A$6:$R$631,5,FALSE),"")</f>
      </c>
      <c r="D28" s="56"/>
      <c r="E28" s="61" t="str">
        <f>IFERROR(VLOOKUP($A28,'MAESTRO PRECIOS'!$A$6:$R$631,11,FALSE),"")</f>
      </c>
      <c r="F28" s="61" t="str">
        <f>IF(OR($D28="",$E28=""),"",$D28*$E28)</f>
      </c>
      <c r="G28" s="62" t="str">
        <f>IFERROR(VLOOKUP($A28,'MAESTRO PRECIOS'!$A$6:$R$631,12,FALSE),"")</f>
      </c>
      <c r="H28" s="61" t="str">
        <f>IF(OR($F28="",$G28=""),"",$F28*$G28)</f>
      </c>
      <c r="I28" s="52" t="str">
        <f>IF(OR($E28="",$G28=""),"",$E28*(1+$G28))</f>
      </c>
      <c r="J28" s="52" t="str">
        <f>IF(OR($D28="",$I28=""),"",$D28*$I28)</f>
      </c>
      <c r="K28" s="62" t="str">
        <f>IF($A28="","",0)</f>
      </c>
      <c r="L28" s="61" t="str">
        <f>IF(OR($J28="",$K28=""),"",$J28*$K28)</f>
      </c>
      <c r="M28" s="52" t="str">
        <f>IF($J28="","",$J28-$L28)</f>
      </c>
    </row>
    <row r="29">
      <c r="A29" s="58"/>
      <c r="B29" s="50" t="str">
        <f>IFERROR(VLOOKUP($A29,'MAESTRO PRECIOS'!$A$6:$R$631,4,FALSE),"")</f>
      </c>
      <c r="C29" s="48" t="str">
        <f>IFERROR(VLOOKUP($A29,'MAESTRO PRECIOS'!$A$6:$R$631,5,FALSE),"")</f>
      </c>
      <c r="D29" s="56"/>
      <c r="E29" s="61" t="str">
        <f>IFERROR(VLOOKUP($A29,'MAESTRO PRECIOS'!$A$6:$R$631,11,FALSE),"")</f>
      </c>
      <c r="F29" s="61" t="str">
        <f>IF(OR($D29="",$E29=""),"",$D29*$E29)</f>
      </c>
      <c r="G29" s="62" t="str">
        <f>IFERROR(VLOOKUP($A29,'MAESTRO PRECIOS'!$A$6:$R$631,12,FALSE),"")</f>
      </c>
      <c r="H29" s="61" t="str">
        <f>IF(OR($F29="",$G29=""),"",$F29*$G29)</f>
      </c>
      <c r="I29" s="52" t="str">
        <f>IF(OR($E29="",$G29=""),"",$E29*(1+$G29))</f>
      </c>
      <c r="J29" s="52" t="str">
        <f>IF(OR($D29="",$I29=""),"",$D29*$I29)</f>
      </c>
      <c r="K29" s="62" t="str">
        <f>IF($A29="","",0)</f>
      </c>
      <c r="L29" s="61" t="str">
        <f>IF(OR($J29="",$K29=""),"",$J29*$K29)</f>
      </c>
      <c r="M29" s="52" t="str">
        <f>IF($J29="","",$J29-$L29)</f>
      </c>
    </row>
    <row r="30">
      <c r="A30" s="58"/>
      <c r="B30" s="50" t="str">
        <f>IFERROR(VLOOKUP($A30,'MAESTRO PRECIOS'!$A$6:$R$631,4,FALSE),"")</f>
      </c>
      <c r="C30" s="48" t="str">
        <f>IFERROR(VLOOKUP($A30,'MAESTRO PRECIOS'!$A$6:$R$631,5,FALSE),"")</f>
      </c>
      <c r="D30" s="56"/>
      <c r="E30" s="61" t="str">
        <f>IFERROR(VLOOKUP($A30,'MAESTRO PRECIOS'!$A$6:$R$631,11,FALSE),"")</f>
      </c>
      <c r="F30" s="61" t="str">
        <f>IF(OR($D30="",$E30=""),"",$D30*$E30)</f>
      </c>
      <c r="G30" s="62" t="str">
        <f>IFERROR(VLOOKUP($A30,'MAESTRO PRECIOS'!$A$6:$R$631,12,FALSE),"")</f>
      </c>
      <c r="H30" s="61" t="str">
        <f>IF(OR($F30="",$G30=""),"",$F30*$G30)</f>
      </c>
      <c r="I30" s="52" t="str">
        <f>IF(OR($E30="",$G30=""),"",$E30*(1+$G30))</f>
      </c>
      <c r="J30" s="52" t="str">
        <f>IF(OR($D30="",$I30=""),"",$D30*$I30)</f>
      </c>
      <c r="K30" s="62" t="str">
        <f>IF($A30="","",0)</f>
      </c>
      <c r="L30" s="61" t="str">
        <f>IF(OR($J30="",$K30=""),"",$J30*$K30)</f>
      </c>
      <c r="M30" s="52" t="str">
        <f>IF($J30="","",$J30-$L30)</f>
      </c>
    </row>
    <row r="31">
      <c r="A31" s="58"/>
      <c r="B31" s="50" t="str">
        <f>IFERROR(VLOOKUP($A31,'MAESTRO PRECIOS'!$A$6:$R$631,4,FALSE),"")</f>
      </c>
      <c r="C31" s="48" t="str">
        <f>IFERROR(VLOOKUP($A31,'MAESTRO PRECIOS'!$A$6:$R$631,5,FALSE),"")</f>
      </c>
      <c r="D31" s="56"/>
      <c r="E31" s="61" t="str">
        <f>IFERROR(VLOOKUP($A31,'MAESTRO PRECIOS'!$A$6:$R$631,11,FALSE),"")</f>
      </c>
      <c r="F31" s="61" t="str">
        <f>IF(OR($D31="",$E31=""),"",$D31*$E31)</f>
      </c>
      <c r="G31" s="62" t="str">
        <f>IFERROR(VLOOKUP($A31,'MAESTRO PRECIOS'!$A$6:$R$631,12,FALSE),"")</f>
      </c>
      <c r="H31" s="61" t="str">
        <f>IF(OR($F31="",$G31=""),"",$F31*$G31)</f>
      </c>
      <c r="I31" s="52" t="str">
        <f>IF(OR($E31="",$G31=""),"",$E31*(1+$G31))</f>
      </c>
      <c r="J31" s="52" t="str">
        <f>IF(OR($D31="",$I31=""),"",$D31*$I31)</f>
      </c>
      <c r="K31" s="62" t="str">
        <f>IF($A31="","",0)</f>
      </c>
      <c r="L31" s="61" t="str">
        <f>IF(OR($J31="",$K31=""),"",$J31*$K31)</f>
      </c>
      <c r="M31" s="52" t="str">
        <f>IF($J31="","",$J31-$L31)</f>
      </c>
    </row>
    <row r="32">
      <c r="A32" s="58"/>
      <c r="B32" s="50" t="str">
        <f>IFERROR(VLOOKUP($A32,'MAESTRO PRECIOS'!$A$6:$R$631,4,FALSE),"")</f>
      </c>
      <c r="C32" s="48" t="str">
        <f>IFERROR(VLOOKUP($A32,'MAESTRO PRECIOS'!$A$6:$R$631,5,FALSE),"")</f>
      </c>
      <c r="D32" s="56"/>
      <c r="E32" s="61" t="str">
        <f>IFERROR(VLOOKUP($A32,'MAESTRO PRECIOS'!$A$6:$R$631,11,FALSE),"")</f>
      </c>
      <c r="F32" s="61" t="str">
        <f>IF(OR($D32="",$E32=""),"",$D32*$E32)</f>
      </c>
      <c r="G32" s="62" t="str">
        <f>IFERROR(VLOOKUP($A32,'MAESTRO PRECIOS'!$A$6:$R$631,12,FALSE),"")</f>
      </c>
      <c r="H32" s="61" t="str">
        <f>IF(OR($F32="",$G32=""),"",$F32*$G32)</f>
      </c>
      <c r="I32" s="52" t="str">
        <f>IF(OR($E32="",$G32=""),"",$E32*(1+$G32))</f>
      </c>
      <c r="J32" s="52" t="str">
        <f>IF(OR($D32="",$I32=""),"",$D32*$I32)</f>
      </c>
      <c r="K32" s="62" t="str">
        <f>IF($A32="","",0)</f>
      </c>
      <c r="L32" s="61" t="str">
        <f>IF(OR($J32="",$K32=""),"",$J32*$K32)</f>
      </c>
      <c r="M32" s="52" t="str">
        <f>IF($J32="","",$J32-$L32)</f>
      </c>
    </row>
    <row r="33">
      <c r="A33" s="58"/>
      <c r="B33" s="50" t="str">
        <f>IFERROR(VLOOKUP($A33,'MAESTRO PRECIOS'!$A$6:$R$631,4,FALSE),"")</f>
      </c>
      <c r="C33" s="48" t="str">
        <f>IFERROR(VLOOKUP($A33,'MAESTRO PRECIOS'!$A$6:$R$631,5,FALSE),"")</f>
      </c>
      <c r="D33" s="56"/>
      <c r="E33" s="61" t="str">
        <f>IFERROR(VLOOKUP($A33,'MAESTRO PRECIOS'!$A$6:$R$631,11,FALSE),"")</f>
      </c>
      <c r="F33" s="61" t="str">
        <f>IF(OR($D33="",$E33=""),"",$D33*$E33)</f>
      </c>
      <c r="G33" s="62" t="str">
        <f>IFERROR(VLOOKUP($A33,'MAESTRO PRECIOS'!$A$6:$R$631,12,FALSE),"")</f>
      </c>
      <c r="H33" s="61" t="str">
        <f>IF(OR($F33="",$G33=""),"",$F33*$G33)</f>
      </c>
      <c r="I33" s="52" t="str">
        <f>IF(OR($E33="",$G33=""),"",$E33*(1+$G33))</f>
      </c>
      <c r="J33" s="52" t="str">
        <f>IF(OR($D33="",$I33=""),"",$D33*$I33)</f>
      </c>
      <c r="K33" s="62" t="str">
        <f>IF($A33="","",0)</f>
      </c>
      <c r="L33" s="61" t="str">
        <f>IF(OR($J33="",$K33=""),"",$J33*$K33)</f>
      </c>
      <c r="M33" s="52" t="str">
        <f>IF($J33="","",$J33-$L33)</f>
      </c>
    </row>
    <row r="34">
      <c r="A34" s="58"/>
      <c r="B34" s="50" t="str">
        <f>IFERROR(VLOOKUP($A34,'MAESTRO PRECIOS'!$A$6:$R$631,4,FALSE),"")</f>
      </c>
      <c r="C34" s="48" t="str">
        <f>IFERROR(VLOOKUP($A34,'MAESTRO PRECIOS'!$A$6:$R$631,5,FALSE),"")</f>
      </c>
      <c r="D34" s="56"/>
      <c r="E34" s="61" t="str">
        <f>IFERROR(VLOOKUP($A34,'MAESTRO PRECIOS'!$A$6:$R$631,11,FALSE),"")</f>
      </c>
      <c r="F34" s="61" t="str">
        <f>IF(OR($D34="",$E34=""),"",$D34*$E34)</f>
      </c>
      <c r="G34" s="62" t="str">
        <f>IFERROR(VLOOKUP($A34,'MAESTRO PRECIOS'!$A$6:$R$631,12,FALSE),"")</f>
      </c>
      <c r="H34" s="61" t="str">
        <f>IF(OR($F34="",$G34=""),"",$F34*$G34)</f>
      </c>
      <c r="I34" s="52" t="str">
        <f>IF(OR($E34="",$G34=""),"",$E34*(1+$G34))</f>
      </c>
      <c r="J34" s="52" t="str">
        <f>IF(OR($D34="",$I34=""),"",$D34*$I34)</f>
      </c>
      <c r="K34" s="62" t="str">
        <f>IF($A34="","",0)</f>
      </c>
      <c r="L34" s="61" t="str">
        <f>IF(OR($J34="",$K34=""),"",$J34*$K34)</f>
      </c>
      <c r="M34" s="52" t="str">
        <f>IF($J34="","",$J34-$L34)</f>
      </c>
    </row>
    <row r="35">
      <c r="A35" s="58"/>
      <c r="B35" s="50" t="str">
        <f>IFERROR(VLOOKUP($A35,'MAESTRO PRECIOS'!$A$6:$R$631,4,FALSE),"")</f>
      </c>
      <c r="C35" s="48" t="str">
        <f>IFERROR(VLOOKUP($A35,'MAESTRO PRECIOS'!$A$6:$R$631,5,FALSE),"")</f>
      </c>
      <c r="D35" s="56"/>
      <c r="E35" s="61" t="str">
        <f>IFERROR(VLOOKUP($A35,'MAESTRO PRECIOS'!$A$6:$R$631,11,FALSE),"")</f>
      </c>
      <c r="F35" s="61" t="str">
        <f>IF(OR($D35="",$E35=""),"",$D35*$E35)</f>
      </c>
      <c r="G35" s="62" t="str">
        <f>IFERROR(VLOOKUP($A35,'MAESTRO PRECIOS'!$A$6:$R$631,12,FALSE),"")</f>
      </c>
      <c r="H35" s="61" t="str">
        <f>IF(OR($F35="",$G35=""),"",$F35*$G35)</f>
      </c>
      <c r="I35" s="52" t="str">
        <f>IF(OR($E35="",$G35=""),"",$E35*(1+$G35))</f>
      </c>
      <c r="J35" s="52" t="str">
        <f>IF(OR($D35="",$I35=""),"",$D35*$I35)</f>
      </c>
      <c r="K35" s="62" t="str">
        <f>IF($A35="","",0)</f>
      </c>
      <c r="L35" s="61" t="str">
        <f>IF(OR($J35="",$K35=""),"",$J35*$K35)</f>
      </c>
      <c r="M35" s="52" t="str">
        <f>IF($J35="","",$J35-$L35)</f>
      </c>
    </row>
    <row r="36">
      <c r="A36" s="58"/>
      <c r="B36" s="50" t="str">
        <f>IFERROR(VLOOKUP($A36,'MAESTRO PRECIOS'!$A$6:$R$631,4,FALSE),"")</f>
      </c>
      <c r="C36" s="48" t="str">
        <f>IFERROR(VLOOKUP($A36,'MAESTRO PRECIOS'!$A$6:$R$631,5,FALSE),"")</f>
      </c>
      <c r="D36" s="56"/>
      <c r="E36" s="61" t="str">
        <f>IFERROR(VLOOKUP($A36,'MAESTRO PRECIOS'!$A$6:$R$631,11,FALSE),"")</f>
      </c>
      <c r="F36" s="61" t="str">
        <f>IF(OR($D36="",$E36=""),"",$D36*$E36)</f>
      </c>
      <c r="G36" s="62" t="str">
        <f>IFERROR(VLOOKUP($A36,'MAESTRO PRECIOS'!$A$6:$R$631,12,FALSE),"")</f>
      </c>
      <c r="H36" s="61" t="str">
        <f>IF(OR($F36="",$G36=""),"",$F36*$G36)</f>
      </c>
      <c r="I36" s="52" t="str">
        <f>IF(OR($E36="",$G36=""),"",$E36*(1+$G36))</f>
      </c>
      <c r="J36" s="52" t="str">
        <f>IF(OR($D36="",$I36=""),"",$D36*$I36)</f>
      </c>
      <c r="K36" s="62" t="str">
        <f>IF($A36="","",0)</f>
      </c>
      <c r="L36" s="61" t="str">
        <f>IF(OR($J36="",$K36=""),"",$J36*$K36)</f>
      </c>
      <c r="M36" s="52" t="str">
        <f>IF($J36="","",$J36-$L36)</f>
      </c>
    </row>
    <row r="37">
      <c r="A37" s="64" t="str">
        <v>SUBTOTAL · ROTULACIÓN Y SEÑALÉTICA</v>
      </c>
      <c r="B37" s="65"/>
      <c r="C37" s="65"/>
      <c r="D37" s="65"/>
      <c r="E37" s="65"/>
      <c r="F37" s="67" t="n">
        <f>SUM(F25:F36)</f>
        <v>0</v>
      </c>
      <c r="G37" s="67"/>
      <c r="H37" s="67" t="n">
        <f>SUM(H25:H36)</f>
        <v>0</v>
      </c>
      <c r="I37" s="67"/>
      <c r="J37" s="67" t="n">
        <f>SUM(J25:J36)</f>
        <v>0</v>
      </c>
      <c r="K37" s="67"/>
      <c r="L37" s="67" t="n">
        <f>SUM(L25:L36)</f>
        <v>0</v>
      </c>
      <c r="M37" s="68" t="n">
        <f>SUM(M25:M36)</f>
        <v>0</v>
      </c>
    </row>
    <row r="39" ht="23" customHeight="1">
      <c r="A39" s="43" t="str">
        <v>03 · VIDRIO Y ALUMINIO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>
      <c r="A40" s="57"/>
      <c r="B40" s="49" t="str">
        <f>IFERROR(VLOOKUP($A40,'MAESTRO PRECIOS'!$A$6:$R$631,4,FALSE),"")</f>
      </c>
      <c r="C40" s="47" t="str">
        <f>IFERROR(VLOOKUP($A40,'MAESTRO PRECIOS'!$A$6:$R$631,5,FALSE),"")</f>
      </c>
      <c r="D40" s="55"/>
      <c r="E40" s="59" t="str">
        <f>IFERROR(VLOOKUP($A40,'MAESTRO PRECIOS'!$A$6:$R$631,11,FALSE),"")</f>
      </c>
      <c r="F40" s="59" t="str">
        <f>IF(OR($D40="",$E40=""),"",$D40*$E40)</f>
      </c>
      <c r="G40" s="60" t="str">
        <f>IFERROR(VLOOKUP($A40,'MAESTRO PRECIOS'!$A$6:$R$631,12,FALSE),"")</f>
      </c>
      <c r="H40" s="59" t="str">
        <f>IF(OR($F40="",$G40=""),"",$F40*$G40)</f>
      </c>
      <c r="I40" s="51" t="str">
        <f>IF(OR($E40="",$G40=""),"",$E40*(1+$G40))</f>
      </c>
      <c r="J40" s="51" t="str">
        <f>IF(OR($D40="",$I40=""),"",$D40*$I40)</f>
      </c>
      <c r="K40" s="60" t="str">
        <f>IF($A40="","",0)</f>
      </c>
      <c r="L40" s="59" t="str">
        <f>IF(OR($J40="",$K40=""),"",$J40*$K40)</f>
      </c>
      <c r="M40" s="51" t="str">
        <f>IF($J40="","",$J40-$L40)</f>
      </c>
    </row>
    <row r="41">
      <c r="A41" s="58"/>
      <c r="B41" s="50" t="str">
        <f>IFERROR(VLOOKUP($A41,'MAESTRO PRECIOS'!$A$6:$R$631,4,FALSE),"")</f>
      </c>
      <c r="C41" s="48" t="str">
        <f>IFERROR(VLOOKUP($A41,'MAESTRO PRECIOS'!$A$6:$R$631,5,FALSE),"")</f>
      </c>
      <c r="D41" s="56"/>
      <c r="E41" s="61" t="str">
        <f>IFERROR(VLOOKUP($A41,'MAESTRO PRECIOS'!$A$6:$R$631,11,FALSE),"")</f>
      </c>
      <c r="F41" s="61" t="str">
        <f>IF(OR($D41="",$E41=""),"",$D41*$E41)</f>
      </c>
      <c r="G41" s="62" t="str">
        <f>IFERROR(VLOOKUP($A41,'MAESTRO PRECIOS'!$A$6:$R$631,12,FALSE),"")</f>
      </c>
      <c r="H41" s="61" t="str">
        <f>IF(OR($F41="",$G41=""),"",$F41*$G41)</f>
      </c>
      <c r="I41" s="52" t="str">
        <f>IF(OR($E41="",$G41=""),"",$E41*(1+$G41))</f>
      </c>
      <c r="J41" s="52" t="str">
        <f>IF(OR($D41="",$I41=""),"",$D41*$I41)</f>
      </c>
      <c r="K41" s="62" t="str">
        <f>IF($A41="","",0)</f>
      </c>
      <c r="L41" s="61" t="str">
        <f>IF(OR($J41="",$K41=""),"",$J41*$K41)</f>
      </c>
      <c r="M41" s="52" t="str">
        <f>IF($J41="","",$J41-$L41)</f>
      </c>
    </row>
    <row r="42">
      <c r="A42" s="58"/>
      <c r="B42" s="50" t="str">
        <f>IFERROR(VLOOKUP($A42,'MAESTRO PRECIOS'!$A$6:$R$631,4,FALSE),"")</f>
      </c>
      <c r="C42" s="48" t="str">
        <f>IFERROR(VLOOKUP($A42,'MAESTRO PRECIOS'!$A$6:$R$631,5,FALSE),"")</f>
      </c>
      <c r="D42" s="56"/>
      <c r="E42" s="61" t="str">
        <f>IFERROR(VLOOKUP($A42,'MAESTRO PRECIOS'!$A$6:$R$631,11,FALSE),"")</f>
      </c>
      <c r="F42" s="61" t="str">
        <f>IF(OR($D42="",$E42=""),"",$D42*$E42)</f>
      </c>
      <c r="G42" s="62" t="str">
        <f>IFERROR(VLOOKUP($A42,'MAESTRO PRECIOS'!$A$6:$R$631,12,FALSE),"")</f>
      </c>
      <c r="H42" s="61" t="str">
        <f>IF(OR($F42="",$G42=""),"",$F42*$G42)</f>
      </c>
      <c r="I42" s="52" t="str">
        <f>IF(OR($E42="",$G42=""),"",$E42*(1+$G42))</f>
      </c>
      <c r="J42" s="52" t="str">
        <f>IF(OR($D42="",$I42=""),"",$D42*$I42)</f>
      </c>
      <c r="K42" s="62" t="str">
        <f>IF($A42="","",0)</f>
      </c>
      <c r="L42" s="61" t="str">
        <f>IF(OR($J42="",$K42=""),"",$J42*$K42)</f>
      </c>
      <c r="M42" s="52" t="str">
        <f>IF($J42="","",$J42-$L42)</f>
      </c>
    </row>
    <row r="43">
      <c r="A43" s="58"/>
      <c r="B43" s="50" t="str">
        <f>IFERROR(VLOOKUP($A43,'MAESTRO PRECIOS'!$A$6:$R$631,4,FALSE),"")</f>
      </c>
      <c r="C43" s="48" t="str">
        <f>IFERROR(VLOOKUP($A43,'MAESTRO PRECIOS'!$A$6:$R$631,5,FALSE),"")</f>
      </c>
      <c r="D43" s="56"/>
      <c r="E43" s="61" t="str">
        <f>IFERROR(VLOOKUP($A43,'MAESTRO PRECIOS'!$A$6:$R$631,11,FALSE),"")</f>
      </c>
      <c r="F43" s="61" t="str">
        <f>IF(OR($D43="",$E43=""),"",$D43*$E43)</f>
      </c>
      <c r="G43" s="62" t="str">
        <f>IFERROR(VLOOKUP($A43,'MAESTRO PRECIOS'!$A$6:$R$631,12,FALSE),"")</f>
      </c>
      <c r="H43" s="61" t="str">
        <f>IF(OR($F43="",$G43=""),"",$F43*$G43)</f>
      </c>
      <c r="I43" s="52" t="str">
        <f>IF(OR($E43="",$G43=""),"",$E43*(1+$G43))</f>
      </c>
      <c r="J43" s="52" t="str">
        <f>IF(OR($D43="",$I43=""),"",$D43*$I43)</f>
      </c>
      <c r="K43" s="62" t="str">
        <f>IF($A43="","",0)</f>
      </c>
      <c r="L43" s="61" t="str">
        <f>IF(OR($J43="",$K43=""),"",$J43*$K43)</f>
      </c>
      <c r="M43" s="52" t="str">
        <f>IF($J43="","",$J43-$L43)</f>
      </c>
    </row>
    <row r="44">
      <c r="A44" s="58"/>
      <c r="B44" s="50" t="str">
        <f>IFERROR(VLOOKUP($A44,'MAESTRO PRECIOS'!$A$6:$R$631,4,FALSE),"")</f>
      </c>
      <c r="C44" s="48" t="str">
        <f>IFERROR(VLOOKUP($A44,'MAESTRO PRECIOS'!$A$6:$R$631,5,FALSE),"")</f>
      </c>
      <c r="D44" s="56"/>
      <c r="E44" s="61" t="str">
        <f>IFERROR(VLOOKUP($A44,'MAESTRO PRECIOS'!$A$6:$R$631,11,FALSE),"")</f>
      </c>
      <c r="F44" s="61" t="str">
        <f>IF(OR($D44="",$E44=""),"",$D44*$E44)</f>
      </c>
      <c r="G44" s="62" t="str">
        <f>IFERROR(VLOOKUP($A44,'MAESTRO PRECIOS'!$A$6:$R$631,12,FALSE),"")</f>
      </c>
      <c r="H44" s="61" t="str">
        <f>IF(OR($F44="",$G44=""),"",$F44*$G44)</f>
      </c>
      <c r="I44" s="52" t="str">
        <f>IF(OR($E44="",$G44=""),"",$E44*(1+$G44))</f>
      </c>
      <c r="J44" s="52" t="str">
        <f>IF(OR($D44="",$I44=""),"",$D44*$I44)</f>
      </c>
      <c r="K44" s="62" t="str">
        <f>IF($A44="","",0)</f>
      </c>
      <c r="L44" s="61" t="str">
        <f>IF(OR($J44="",$K44=""),"",$J44*$K44)</f>
      </c>
      <c r="M44" s="52" t="str">
        <f>IF($J44="","",$J44-$L44)</f>
      </c>
    </row>
    <row r="45">
      <c r="A45" s="58"/>
      <c r="B45" s="50" t="str">
        <f>IFERROR(VLOOKUP($A45,'MAESTRO PRECIOS'!$A$6:$R$631,4,FALSE),"")</f>
      </c>
      <c r="C45" s="48" t="str">
        <f>IFERROR(VLOOKUP($A45,'MAESTRO PRECIOS'!$A$6:$R$631,5,FALSE),"")</f>
      </c>
      <c r="D45" s="56"/>
      <c r="E45" s="61" t="str">
        <f>IFERROR(VLOOKUP($A45,'MAESTRO PRECIOS'!$A$6:$R$631,11,FALSE),"")</f>
      </c>
      <c r="F45" s="61" t="str">
        <f>IF(OR($D45="",$E45=""),"",$D45*$E45)</f>
      </c>
      <c r="G45" s="62" t="str">
        <f>IFERROR(VLOOKUP($A45,'MAESTRO PRECIOS'!$A$6:$R$631,12,FALSE),"")</f>
      </c>
      <c r="H45" s="61" t="str">
        <f>IF(OR($F45="",$G45=""),"",$F45*$G45)</f>
      </c>
      <c r="I45" s="52" t="str">
        <f>IF(OR($E45="",$G45=""),"",$E45*(1+$G45))</f>
      </c>
      <c r="J45" s="52" t="str">
        <f>IF(OR($D45="",$I45=""),"",$D45*$I45)</f>
      </c>
      <c r="K45" s="62" t="str">
        <f>IF($A45="","",0)</f>
      </c>
      <c r="L45" s="61" t="str">
        <f>IF(OR($J45="",$K45=""),"",$J45*$K45)</f>
      </c>
      <c r="M45" s="52" t="str">
        <f>IF($J45="","",$J45-$L45)</f>
      </c>
    </row>
    <row r="46">
      <c r="A46" s="58"/>
      <c r="B46" s="50" t="str">
        <f>IFERROR(VLOOKUP($A46,'MAESTRO PRECIOS'!$A$6:$R$631,4,FALSE),"")</f>
      </c>
      <c r="C46" s="48" t="str">
        <f>IFERROR(VLOOKUP($A46,'MAESTRO PRECIOS'!$A$6:$R$631,5,FALSE),"")</f>
      </c>
      <c r="D46" s="56"/>
      <c r="E46" s="61" t="str">
        <f>IFERROR(VLOOKUP($A46,'MAESTRO PRECIOS'!$A$6:$R$631,11,FALSE),"")</f>
      </c>
      <c r="F46" s="61" t="str">
        <f>IF(OR($D46="",$E46=""),"",$D46*$E46)</f>
      </c>
      <c r="G46" s="62" t="str">
        <f>IFERROR(VLOOKUP($A46,'MAESTRO PRECIOS'!$A$6:$R$631,12,FALSE),"")</f>
      </c>
      <c r="H46" s="61" t="str">
        <f>IF(OR($F46="",$G46=""),"",$F46*$G46)</f>
      </c>
      <c r="I46" s="52" t="str">
        <f>IF(OR($E46="",$G46=""),"",$E46*(1+$G46))</f>
      </c>
      <c r="J46" s="52" t="str">
        <f>IF(OR($D46="",$I46=""),"",$D46*$I46)</f>
      </c>
      <c r="K46" s="62" t="str">
        <f>IF($A46="","",0)</f>
      </c>
      <c r="L46" s="61" t="str">
        <f>IF(OR($J46="",$K46=""),"",$J46*$K46)</f>
      </c>
      <c r="M46" s="52" t="str">
        <f>IF($J46="","",$J46-$L46)</f>
      </c>
    </row>
    <row r="47">
      <c r="A47" s="58"/>
      <c r="B47" s="50" t="str">
        <f>IFERROR(VLOOKUP($A47,'MAESTRO PRECIOS'!$A$6:$R$631,4,FALSE),"")</f>
      </c>
      <c r="C47" s="48" t="str">
        <f>IFERROR(VLOOKUP($A47,'MAESTRO PRECIOS'!$A$6:$R$631,5,FALSE),"")</f>
      </c>
      <c r="D47" s="56"/>
      <c r="E47" s="61" t="str">
        <f>IFERROR(VLOOKUP($A47,'MAESTRO PRECIOS'!$A$6:$R$631,11,FALSE),"")</f>
      </c>
      <c r="F47" s="61" t="str">
        <f>IF(OR($D47="",$E47=""),"",$D47*$E47)</f>
      </c>
      <c r="G47" s="62" t="str">
        <f>IFERROR(VLOOKUP($A47,'MAESTRO PRECIOS'!$A$6:$R$631,12,FALSE),"")</f>
      </c>
      <c r="H47" s="61" t="str">
        <f>IF(OR($F47="",$G47=""),"",$F47*$G47)</f>
      </c>
      <c r="I47" s="52" t="str">
        <f>IF(OR($E47="",$G47=""),"",$E47*(1+$G47))</f>
      </c>
      <c r="J47" s="52" t="str">
        <f>IF(OR($D47="",$I47=""),"",$D47*$I47)</f>
      </c>
      <c r="K47" s="62" t="str">
        <f>IF($A47="","",0)</f>
      </c>
      <c r="L47" s="61" t="str">
        <f>IF(OR($J47="",$K47=""),"",$J47*$K47)</f>
      </c>
      <c r="M47" s="52" t="str">
        <f>IF($J47="","",$J47-$L47)</f>
      </c>
    </row>
    <row r="48">
      <c r="A48" s="58"/>
      <c r="B48" s="50" t="str">
        <f>IFERROR(VLOOKUP($A48,'MAESTRO PRECIOS'!$A$6:$R$631,4,FALSE),"")</f>
      </c>
      <c r="C48" s="48" t="str">
        <f>IFERROR(VLOOKUP($A48,'MAESTRO PRECIOS'!$A$6:$R$631,5,FALSE),"")</f>
      </c>
      <c r="D48" s="56"/>
      <c r="E48" s="61" t="str">
        <f>IFERROR(VLOOKUP($A48,'MAESTRO PRECIOS'!$A$6:$R$631,11,FALSE),"")</f>
      </c>
      <c r="F48" s="61" t="str">
        <f>IF(OR($D48="",$E48=""),"",$D48*$E48)</f>
      </c>
      <c r="G48" s="62" t="str">
        <f>IFERROR(VLOOKUP($A48,'MAESTRO PRECIOS'!$A$6:$R$631,12,FALSE),"")</f>
      </c>
      <c r="H48" s="61" t="str">
        <f>IF(OR($F48="",$G48=""),"",$F48*$G48)</f>
      </c>
      <c r="I48" s="52" t="str">
        <f>IF(OR($E48="",$G48=""),"",$E48*(1+$G48))</f>
      </c>
      <c r="J48" s="52" t="str">
        <f>IF(OR($D48="",$I48=""),"",$D48*$I48)</f>
      </c>
      <c r="K48" s="62" t="str">
        <f>IF($A48="","",0)</f>
      </c>
      <c r="L48" s="61" t="str">
        <f>IF(OR($J48="",$K48=""),"",$J48*$K48)</f>
      </c>
      <c r="M48" s="52" t="str">
        <f>IF($J48="","",$J48-$L48)</f>
      </c>
    </row>
    <row r="49">
      <c r="A49" s="58"/>
      <c r="B49" s="50" t="str">
        <f>IFERROR(VLOOKUP($A49,'MAESTRO PRECIOS'!$A$6:$R$631,4,FALSE),"")</f>
      </c>
      <c r="C49" s="48" t="str">
        <f>IFERROR(VLOOKUP($A49,'MAESTRO PRECIOS'!$A$6:$R$631,5,FALSE),"")</f>
      </c>
      <c r="D49" s="56"/>
      <c r="E49" s="61" t="str">
        <f>IFERROR(VLOOKUP($A49,'MAESTRO PRECIOS'!$A$6:$R$631,11,FALSE),"")</f>
      </c>
      <c r="F49" s="61" t="str">
        <f>IF(OR($D49="",$E49=""),"",$D49*$E49)</f>
      </c>
      <c r="G49" s="62" t="str">
        <f>IFERROR(VLOOKUP($A49,'MAESTRO PRECIOS'!$A$6:$R$631,12,FALSE),"")</f>
      </c>
      <c r="H49" s="61" t="str">
        <f>IF(OR($F49="",$G49=""),"",$F49*$G49)</f>
      </c>
      <c r="I49" s="52" t="str">
        <f>IF(OR($E49="",$G49=""),"",$E49*(1+$G49))</f>
      </c>
      <c r="J49" s="52" t="str">
        <f>IF(OR($D49="",$I49=""),"",$D49*$I49)</f>
      </c>
      <c r="K49" s="62" t="str">
        <f>IF($A49="","",0)</f>
      </c>
      <c r="L49" s="61" t="str">
        <f>IF(OR($J49="",$K49=""),"",$J49*$K49)</f>
      </c>
      <c r="M49" s="52" t="str">
        <f>IF($J49="","",$J49-$L49)</f>
      </c>
    </row>
    <row r="50">
      <c r="A50" s="58"/>
      <c r="B50" s="50" t="str">
        <f>IFERROR(VLOOKUP($A50,'MAESTRO PRECIOS'!$A$6:$R$631,4,FALSE),"")</f>
      </c>
      <c r="C50" s="48" t="str">
        <f>IFERROR(VLOOKUP($A50,'MAESTRO PRECIOS'!$A$6:$R$631,5,FALSE),"")</f>
      </c>
      <c r="D50" s="56"/>
      <c r="E50" s="61" t="str">
        <f>IFERROR(VLOOKUP($A50,'MAESTRO PRECIOS'!$A$6:$R$631,11,FALSE),"")</f>
      </c>
      <c r="F50" s="61" t="str">
        <f>IF(OR($D50="",$E50=""),"",$D50*$E50)</f>
      </c>
      <c r="G50" s="62" t="str">
        <f>IFERROR(VLOOKUP($A50,'MAESTRO PRECIOS'!$A$6:$R$631,12,FALSE),"")</f>
      </c>
      <c r="H50" s="61" t="str">
        <f>IF(OR($F50="",$G50=""),"",$F50*$G50)</f>
      </c>
      <c r="I50" s="52" t="str">
        <f>IF(OR($E50="",$G50=""),"",$E50*(1+$G50))</f>
      </c>
      <c r="J50" s="52" t="str">
        <f>IF(OR($D50="",$I50=""),"",$D50*$I50)</f>
      </c>
      <c r="K50" s="62" t="str">
        <f>IF($A50="","",0)</f>
      </c>
      <c r="L50" s="61" t="str">
        <f>IF(OR($J50="",$K50=""),"",$J50*$K50)</f>
      </c>
      <c r="M50" s="52" t="str">
        <f>IF($J50="","",$J50-$L50)</f>
      </c>
    </row>
    <row r="51">
      <c r="A51" s="58"/>
      <c r="B51" s="50" t="str">
        <f>IFERROR(VLOOKUP($A51,'MAESTRO PRECIOS'!$A$6:$R$631,4,FALSE),"")</f>
      </c>
      <c r="C51" s="48" t="str">
        <f>IFERROR(VLOOKUP($A51,'MAESTRO PRECIOS'!$A$6:$R$631,5,FALSE),"")</f>
      </c>
      <c r="D51" s="56"/>
      <c r="E51" s="61" t="str">
        <f>IFERROR(VLOOKUP($A51,'MAESTRO PRECIOS'!$A$6:$R$631,11,FALSE),"")</f>
      </c>
      <c r="F51" s="61" t="str">
        <f>IF(OR($D51="",$E51=""),"",$D51*$E51)</f>
      </c>
      <c r="G51" s="62" t="str">
        <f>IFERROR(VLOOKUP($A51,'MAESTRO PRECIOS'!$A$6:$R$631,12,FALSE),"")</f>
      </c>
      <c r="H51" s="61" t="str">
        <f>IF(OR($F51="",$G51=""),"",$F51*$G51)</f>
      </c>
      <c r="I51" s="52" t="str">
        <f>IF(OR($E51="",$G51=""),"",$E51*(1+$G51))</f>
      </c>
      <c r="J51" s="52" t="str">
        <f>IF(OR($D51="",$I51=""),"",$D51*$I51)</f>
      </c>
      <c r="K51" s="62" t="str">
        <f>IF($A51="","",0)</f>
      </c>
      <c r="L51" s="61" t="str">
        <f>IF(OR($J51="",$K51=""),"",$J51*$K51)</f>
      </c>
      <c r="M51" s="52" t="str">
        <f>IF($J51="","",$J51-$L51)</f>
      </c>
    </row>
    <row r="52">
      <c r="A52" s="64" t="str">
        <v>SUBTOTAL · VIDRIO Y ALUMINIO</v>
      </c>
      <c r="B52" s="65"/>
      <c r="C52" s="65"/>
      <c r="D52" s="65"/>
      <c r="E52" s="65"/>
      <c r="F52" s="67" t="n">
        <f>SUM(F40:F51)</f>
        <v>0</v>
      </c>
      <c r="G52" s="67"/>
      <c r="H52" s="67" t="n">
        <f>SUM(H40:H51)</f>
        <v>0</v>
      </c>
      <c r="I52" s="67"/>
      <c r="J52" s="67" t="n">
        <f>SUM(J40:J51)</f>
        <v>0</v>
      </c>
      <c r="K52" s="67"/>
      <c r="L52" s="67" t="n">
        <f>SUM(L40:L51)</f>
        <v>0</v>
      </c>
      <c r="M52" s="68" t="n">
        <f>SUM(M40:M51)</f>
        <v>0</v>
      </c>
    </row>
    <row r="54" ht="23" customHeight="1">
      <c r="A54" s="43" t="str">
        <v>04 · ACABADOS Y GYPSUM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>
      <c r="A55" s="57"/>
      <c r="B55" s="49" t="str">
        <f>IFERROR(VLOOKUP($A55,'MAESTRO PRECIOS'!$A$6:$R$631,4,FALSE),"")</f>
      </c>
      <c r="C55" s="47" t="str">
        <f>IFERROR(VLOOKUP($A55,'MAESTRO PRECIOS'!$A$6:$R$631,5,FALSE),"")</f>
      </c>
      <c r="D55" s="55"/>
      <c r="E55" s="59" t="str">
        <f>IFERROR(VLOOKUP($A55,'MAESTRO PRECIOS'!$A$6:$R$631,11,FALSE),"")</f>
      </c>
      <c r="F55" s="59" t="str">
        <f>IF(OR($D55="",$E55=""),"",$D55*$E55)</f>
      </c>
      <c r="G55" s="60" t="str">
        <f>IFERROR(VLOOKUP($A55,'MAESTRO PRECIOS'!$A$6:$R$631,12,FALSE),"")</f>
      </c>
      <c r="H55" s="59" t="str">
        <f>IF(OR($F55="",$G55=""),"",$F55*$G55)</f>
      </c>
      <c r="I55" s="51" t="str">
        <f>IF(OR($E55="",$G55=""),"",$E55*(1+$G55))</f>
      </c>
      <c r="J55" s="51" t="str">
        <f>IF(OR($D55="",$I55=""),"",$D55*$I55)</f>
      </c>
      <c r="K55" s="60" t="str">
        <f>IF($A55="","",0)</f>
      </c>
      <c r="L55" s="59" t="str">
        <f>IF(OR($J55="",$K55=""),"",$J55*$K55)</f>
      </c>
      <c r="M55" s="51" t="str">
        <f>IF($J55="","",$J55-$L55)</f>
      </c>
    </row>
    <row r="56">
      <c r="A56" s="58"/>
      <c r="B56" s="50" t="str">
        <f>IFERROR(VLOOKUP($A56,'MAESTRO PRECIOS'!$A$6:$R$631,4,FALSE),"")</f>
      </c>
      <c r="C56" s="48" t="str">
        <f>IFERROR(VLOOKUP($A56,'MAESTRO PRECIOS'!$A$6:$R$631,5,FALSE),"")</f>
      </c>
      <c r="D56" s="56"/>
      <c r="E56" s="61" t="str">
        <f>IFERROR(VLOOKUP($A56,'MAESTRO PRECIOS'!$A$6:$R$631,11,FALSE),"")</f>
      </c>
      <c r="F56" s="61" t="str">
        <f>IF(OR($D56="",$E56=""),"",$D56*$E56)</f>
      </c>
      <c r="G56" s="62" t="str">
        <f>IFERROR(VLOOKUP($A56,'MAESTRO PRECIOS'!$A$6:$R$631,12,FALSE),"")</f>
      </c>
      <c r="H56" s="61" t="str">
        <f>IF(OR($F56="",$G56=""),"",$F56*$G56)</f>
      </c>
      <c r="I56" s="52" t="str">
        <f>IF(OR($E56="",$G56=""),"",$E56*(1+$G56))</f>
      </c>
      <c r="J56" s="52" t="str">
        <f>IF(OR($D56="",$I56=""),"",$D56*$I56)</f>
      </c>
      <c r="K56" s="62" t="str">
        <f>IF($A56="","",0)</f>
      </c>
      <c r="L56" s="61" t="str">
        <f>IF(OR($J56="",$K56=""),"",$J56*$K56)</f>
      </c>
      <c r="M56" s="52" t="str">
        <f>IF($J56="","",$J56-$L56)</f>
      </c>
    </row>
    <row r="57">
      <c r="A57" s="58"/>
      <c r="B57" s="50" t="str">
        <f>IFERROR(VLOOKUP($A57,'MAESTRO PRECIOS'!$A$6:$R$631,4,FALSE),"")</f>
      </c>
      <c r="C57" s="48" t="str">
        <f>IFERROR(VLOOKUP($A57,'MAESTRO PRECIOS'!$A$6:$R$631,5,FALSE),"")</f>
      </c>
      <c r="D57" s="56"/>
      <c r="E57" s="61" t="str">
        <f>IFERROR(VLOOKUP($A57,'MAESTRO PRECIOS'!$A$6:$R$631,11,FALSE),"")</f>
      </c>
      <c r="F57" s="61" t="str">
        <f>IF(OR($D57="",$E57=""),"",$D57*$E57)</f>
      </c>
      <c r="G57" s="62" t="str">
        <f>IFERROR(VLOOKUP($A57,'MAESTRO PRECIOS'!$A$6:$R$631,12,FALSE),"")</f>
      </c>
      <c r="H57" s="61" t="str">
        <f>IF(OR($F57="",$G57=""),"",$F57*$G57)</f>
      </c>
      <c r="I57" s="52" t="str">
        <f>IF(OR($E57="",$G57=""),"",$E57*(1+$G57))</f>
      </c>
      <c r="J57" s="52" t="str">
        <f>IF(OR($D57="",$I57=""),"",$D57*$I57)</f>
      </c>
      <c r="K57" s="62" t="str">
        <f>IF($A57="","",0)</f>
      </c>
      <c r="L57" s="61" t="str">
        <f>IF(OR($J57="",$K57=""),"",$J57*$K57)</f>
      </c>
      <c r="M57" s="52" t="str">
        <f>IF($J57="","",$J57-$L57)</f>
      </c>
    </row>
    <row r="58">
      <c r="A58" s="58"/>
      <c r="B58" s="50" t="str">
        <f>IFERROR(VLOOKUP($A58,'MAESTRO PRECIOS'!$A$6:$R$631,4,FALSE),"")</f>
      </c>
      <c r="C58" s="48" t="str">
        <f>IFERROR(VLOOKUP($A58,'MAESTRO PRECIOS'!$A$6:$R$631,5,FALSE),"")</f>
      </c>
      <c r="D58" s="56"/>
      <c r="E58" s="61" t="str">
        <f>IFERROR(VLOOKUP($A58,'MAESTRO PRECIOS'!$A$6:$R$631,11,FALSE),"")</f>
      </c>
      <c r="F58" s="61" t="str">
        <f>IF(OR($D58="",$E58=""),"",$D58*$E58)</f>
      </c>
      <c r="G58" s="62" t="str">
        <f>IFERROR(VLOOKUP($A58,'MAESTRO PRECIOS'!$A$6:$R$631,12,FALSE),"")</f>
      </c>
      <c r="H58" s="61" t="str">
        <f>IF(OR($F58="",$G58=""),"",$F58*$G58)</f>
      </c>
      <c r="I58" s="52" t="str">
        <f>IF(OR($E58="",$G58=""),"",$E58*(1+$G58))</f>
      </c>
      <c r="J58" s="52" t="str">
        <f>IF(OR($D58="",$I58=""),"",$D58*$I58)</f>
      </c>
      <c r="K58" s="62" t="str">
        <f>IF($A58="","",0)</f>
      </c>
      <c r="L58" s="61" t="str">
        <f>IF(OR($J58="",$K58=""),"",$J58*$K58)</f>
      </c>
      <c r="M58" s="52" t="str">
        <f>IF($J58="","",$J58-$L58)</f>
      </c>
    </row>
    <row r="59">
      <c r="A59" s="58"/>
      <c r="B59" s="50" t="str">
        <f>IFERROR(VLOOKUP($A59,'MAESTRO PRECIOS'!$A$6:$R$631,4,FALSE),"")</f>
      </c>
      <c r="C59" s="48" t="str">
        <f>IFERROR(VLOOKUP($A59,'MAESTRO PRECIOS'!$A$6:$R$631,5,FALSE),"")</f>
      </c>
      <c r="D59" s="56"/>
      <c r="E59" s="61" t="str">
        <f>IFERROR(VLOOKUP($A59,'MAESTRO PRECIOS'!$A$6:$R$631,11,FALSE),"")</f>
      </c>
      <c r="F59" s="61" t="str">
        <f>IF(OR($D59="",$E59=""),"",$D59*$E59)</f>
      </c>
      <c r="G59" s="62" t="str">
        <f>IFERROR(VLOOKUP($A59,'MAESTRO PRECIOS'!$A$6:$R$631,12,FALSE),"")</f>
      </c>
      <c r="H59" s="61" t="str">
        <f>IF(OR($F59="",$G59=""),"",$F59*$G59)</f>
      </c>
      <c r="I59" s="52" t="str">
        <f>IF(OR($E59="",$G59=""),"",$E59*(1+$G59))</f>
      </c>
      <c r="J59" s="52" t="str">
        <f>IF(OR($D59="",$I59=""),"",$D59*$I59)</f>
      </c>
      <c r="K59" s="62" t="str">
        <f>IF($A59="","",0)</f>
      </c>
      <c r="L59" s="61" t="str">
        <f>IF(OR($J59="",$K59=""),"",$J59*$K59)</f>
      </c>
      <c r="M59" s="52" t="str">
        <f>IF($J59="","",$J59-$L59)</f>
      </c>
    </row>
    <row r="60">
      <c r="A60" s="58"/>
      <c r="B60" s="50" t="str">
        <f>IFERROR(VLOOKUP($A60,'MAESTRO PRECIOS'!$A$6:$R$631,4,FALSE),"")</f>
      </c>
      <c r="C60" s="48" t="str">
        <f>IFERROR(VLOOKUP($A60,'MAESTRO PRECIOS'!$A$6:$R$631,5,FALSE),"")</f>
      </c>
      <c r="D60" s="56"/>
      <c r="E60" s="61" t="str">
        <f>IFERROR(VLOOKUP($A60,'MAESTRO PRECIOS'!$A$6:$R$631,11,FALSE),"")</f>
      </c>
      <c r="F60" s="61" t="str">
        <f>IF(OR($D60="",$E60=""),"",$D60*$E60)</f>
      </c>
      <c r="G60" s="62" t="str">
        <f>IFERROR(VLOOKUP($A60,'MAESTRO PRECIOS'!$A$6:$R$631,12,FALSE),"")</f>
      </c>
      <c r="H60" s="61" t="str">
        <f>IF(OR($F60="",$G60=""),"",$F60*$G60)</f>
      </c>
      <c r="I60" s="52" t="str">
        <f>IF(OR($E60="",$G60=""),"",$E60*(1+$G60))</f>
      </c>
      <c r="J60" s="52" t="str">
        <f>IF(OR($D60="",$I60=""),"",$D60*$I60)</f>
      </c>
      <c r="K60" s="62" t="str">
        <f>IF($A60="","",0)</f>
      </c>
      <c r="L60" s="61" t="str">
        <f>IF(OR($J60="",$K60=""),"",$J60*$K60)</f>
      </c>
      <c r="M60" s="52" t="str">
        <f>IF($J60="","",$J60-$L60)</f>
      </c>
    </row>
    <row r="61">
      <c r="A61" s="58"/>
      <c r="B61" s="50" t="str">
        <f>IFERROR(VLOOKUP($A61,'MAESTRO PRECIOS'!$A$6:$R$631,4,FALSE),"")</f>
      </c>
      <c r="C61" s="48" t="str">
        <f>IFERROR(VLOOKUP($A61,'MAESTRO PRECIOS'!$A$6:$R$631,5,FALSE),"")</f>
      </c>
      <c r="D61" s="56"/>
      <c r="E61" s="61" t="str">
        <f>IFERROR(VLOOKUP($A61,'MAESTRO PRECIOS'!$A$6:$R$631,11,FALSE),"")</f>
      </c>
      <c r="F61" s="61" t="str">
        <f>IF(OR($D61="",$E61=""),"",$D61*$E61)</f>
      </c>
      <c r="G61" s="62" t="str">
        <f>IFERROR(VLOOKUP($A61,'MAESTRO PRECIOS'!$A$6:$R$631,12,FALSE),"")</f>
      </c>
      <c r="H61" s="61" t="str">
        <f>IF(OR($F61="",$G61=""),"",$F61*$G61)</f>
      </c>
      <c r="I61" s="52" t="str">
        <f>IF(OR($E61="",$G61=""),"",$E61*(1+$G61))</f>
      </c>
      <c r="J61" s="52" t="str">
        <f>IF(OR($D61="",$I61=""),"",$D61*$I61)</f>
      </c>
      <c r="K61" s="62" t="str">
        <f>IF($A61="","",0)</f>
      </c>
      <c r="L61" s="61" t="str">
        <f>IF(OR($J61="",$K61=""),"",$J61*$K61)</f>
      </c>
      <c r="M61" s="52" t="str">
        <f>IF($J61="","",$J61-$L61)</f>
      </c>
    </row>
    <row r="62">
      <c r="A62" s="58"/>
      <c r="B62" s="50" t="str">
        <f>IFERROR(VLOOKUP($A62,'MAESTRO PRECIOS'!$A$6:$R$631,4,FALSE),"")</f>
      </c>
      <c r="C62" s="48" t="str">
        <f>IFERROR(VLOOKUP($A62,'MAESTRO PRECIOS'!$A$6:$R$631,5,FALSE),"")</f>
      </c>
      <c r="D62" s="56"/>
      <c r="E62" s="61" t="str">
        <f>IFERROR(VLOOKUP($A62,'MAESTRO PRECIOS'!$A$6:$R$631,11,FALSE),"")</f>
      </c>
      <c r="F62" s="61" t="str">
        <f>IF(OR($D62="",$E62=""),"",$D62*$E62)</f>
      </c>
      <c r="G62" s="62" t="str">
        <f>IFERROR(VLOOKUP($A62,'MAESTRO PRECIOS'!$A$6:$R$631,12,FALSE),"")</f>
      </c>
      <c r="H62" s="61" t="str">
        <f>IF(OR($F62="",$G62=""),"",$F62*$G62)</f>
      </c>
      <c r="I62" s="52" t="str">
        <f>IF(OR($E62="",$G62=""),"",$E62*(1+$G62))</f>
      </c>
      <c r="J62" s="52" t="str">
        <f>IF(OR($D62="",$I62=""),"",$D62*$I62)</f>
      </c>
      <c r="K62" s="62" t="str">
        <f>IF($A62="","",0)</f>
      </c>
      <c r="L62" s="61" t="str">
        <f>IF(OR($J62="",$K62=""),"",$J62*$K62)</f>
      </c>
      <c r="M62" s="52" t="str">
        <f>IF($J62="","",$J62-$L62)</f>
      </c>
    </row>
    <row r="63">
      <c r="A63" s="58"/>
      <c r="B63" s="50" t="str">
        <f>IFERROR(VLOOKUP($A63,'MAESTRO PRECIOS'!$A$6:$R$631,4,FALSE),"")</f>
      </c>
      <c r="C63" s="48" t="str">
        <f>IFERROR(VLOOKUP($A63,'MAESTRO PRECIOS'!$A$6:$R$631,5,FALSE),"")</f>
      </c>
      <c r="D63" s="56"/>
      <c r="E63" s="61" t="str">
        <f>IFERROR(VLOOKUP($A63,'MAESTRO PRECIOS'!$A$6:$R$631,11,FALSE),"")</f>
      </c>
      <c r="F63" s="61" t="str">
        <f>IF(OR($D63="",$E63=""),"",$D63*$E63)</f>
      </c>
      <c r="G63" s="62" t="str">
        <f>IFERROR(VLOOKUP($A63,'MAESTRO PRECIOS'!$A$6:$R$631,12,FALSE),"")</f>
      </c>
      <c r="H63" s="61" t="str">
        <f>IF(OR($F63="",$G63=""),"",$F63*$G63)</f>
      </c>
      <c r="I63" s="52" t="str">
        <f>IF(OR($E63="",$G63=""),"",$E63*(1+$G63))</f>
      </c>
      <c r="J63" s="52" t="str">
        <f>IF(OR($D63="",$I63=""),"",$D63*$I63)</f>
      </c>
      <c r="K63" s="62" t="str">
        <f>IF($A63="","",0)</f>
      </c>
      <c r="L63" s="61" t="str">
        <f>IF(OR($J63="",$K63=""),"",$J63*$K63)</f>
      </c>
      <c r="M63" s="52" t="str">
        <f>IF($J63="","",$J63-$L63)</f>
      </c>
    </row>
    <row r="64">
      <c r="A64" s="58"/>
      <c r="B64" s="50" t="str">
        <f>IFERROR(VLOOKUP($A64,'MAESTRO PRECIOS'!$A$6:$R$631,4,FALSE),"")</f>
      </c>
      <c r="C64" s="48" t="str">
        <f>IFERROR(VLOOKUP($A64,'MAESTRO PRECIOS'!$A$6:$R$631,5,FALSE),"")</f>
      </c>
      <c r="D64" s="56"/>
      <c r="E64" s="61" t="str">
        <f>IFERROR(VLOOKUP($A64,'MAESTRO PRECIOS'!$A$6:$R$631,11,FALSE),"")</f>
      </c>
      <c r="F64" s="61" t="str">
        <f>IF(OR($D64="",$E64=""),"",$D64*$E64)</f>
      </c>
      <c r="G64" s="62" t="str">
        <f>IFERROR(VLOOKUP($A64,'MAESTRO PRECIOS'!$A$6:$R$631,12,FALSE),"")</f>
      </c>
      <c r="H64" s="61" t="str">
        <f>IF(OR($F64="",$G64=""),"",$F64*$G64)</f>
      </c>
      <c r="I64" s="52" t="str">
        <f>IF(OR($E64="",$G64=""),"",$E64*(1+$G64))</f>
      </c>
      <c r="J64" s="52" t="str">
        <f>IF(OR($D64="",$I64=""),"",$D64*$I64)</f>
      </c>
      <c r="K64" s="62" t="str">
        <f>IF($A64="","",0)</f>
      </c>
      <c r="L64" s="61" t="str">
        <f>IF(OR($J64="",$K64=""),"",$J64*$K64)</f>
      </c>
      <c r="M64" s="52" t="str">
        <f>IF($J64="","",$J64-$L64)</f>
      </c>
    </row>
    <row r="65">
      <c r="A65" s="58"/>
      <c r="B65" s="50" t="str">
        <f>IFERROR(VLOOKUP($A65,'MAESTRO PRECIOS'!$A$6:$R$631,4,FALSE),"")</f>
      </c>
      <c r="C65" s="48" t="str">
        <f>IFERROR(VLOOKUP($A65,'MAESTRO PRECIOS'!$A$6:$R$631,5,FALSE),"")</f>
      </c>
      <c r="D65" s="56"/>
      <c r="E65" s="61" t="str">
        <f>IFERROR(VLOOKUP($A65,'MAESTRO PRECIOS'!$A$6:$R$631,11,FALSE),"")</f>
      </c>
      <c r="F65" s="61" t="str">
        <f>IF(OR($D65="",$E65=""),"",$D65*$E65)</f>
      </c>
      <c r="G65" s="62" t="str">
        <f>IFERROR(VLOOKUP($A65,'MAESTRO PRECIOS'!$A$6:$R$631,12,FALSE),"")</f>
      </c>
      <c r="H65" s="61" t="str">
        <f>IF(OR($F65="",$G65=""),"",$F65*$G65)</f>
      </c>
      <c r="I65" s="52" t="str">
        <f>IF(OR($E65="",$G65=""),"",$E65*(1+$G65))</f>
      </c>
      <c r="J65" s="52" t="str">
        <f>IF(OR($D65="",$I65=""),"",$D65*$I65)</f>
      </c>
      <c r="K65" s="62" t="str">
        <f>IF($A65="","",0)</f>
      </c>
      <c r="L65" s="61" t="str">
        <f>IF(OR($J65="",$K65=""),"",$J65*$K65)</f>
      </c>
      <c r="M65" s="52" t="str">
        <f>IF($J65="","",$J65-$L65)</f>
      </c>
    </row>
    <row r="66">
      <c r="A66" s="58"/>
      <c r="B66" s="50" t="str">
        <f>IFERROR(VLOOKUP($A66,'MAESTRO PRECIOS'!$A$6:$R$631,4,FALSE),"")</f>
      </c>
      <c r="C66" s="48" t="str">
        <f>IFERROR(VLOOKUP($A66,'MAESTRO PRECIOS'!$A$6:$R$631,5,FALSE),"")</f>
      </c>
      <c r="D66" s="56"/>
      <c r="E66" s="61" t="str">
        <f>IFERROR(VLOOKUP($A66,'MAESTRO PRECIOS'!$A$6:$R$631,11,FALSE),"")</f>
      </c>
      <c r="F66" s="61" t="str">
        <f>IF(OR($D66="",$E66=""),"",$D66*$E66)</f>
      </c>
      <c r="G66" s="62" t="str">
        <f>IFERROR(VLOOKUP($A66,'MAESTRO PRECIOS'!$A$6:$R$631,12,FALSE),"")</f>
      </c>
      <c r="H66" s="61" t="str">
        <f>IF(OR($F66="",$G66=""),"",$F66*$G66)</f>
      </c>
      <c r="I66" s="52" t="str">
        <f>IF(OR($E66="",$G66=""),"",$E66*(1+$G66))</f>
      </c>
      <c r="J66" s="52" t="str">
        <f>IF(OR($D66="",$I66=""),"",$D66*$I66)</f>
      </c>
      <c r="K66" s="62" t="str">
        <f>IF($A66="","",0)</f>
      </c>
      <c r="L66" s="61" t="str">
        <f>IF(OR($J66="",$K66=""),"",$J66*$K66)</f>
      </c>
      <c r="M66" s="52" t="str">
        <f>IF($J66="","",$J66-$L66)</f>
      </c>
    </row>
    <row r="67">
      <c r="A67" s="64" t="str">
        <v>SUBTOTAL · ACABADOS Y GYPSUM</v>
      </c>
      <c r="B67" s="65"/>
      <c r="C67" s="65"/>
      <c r="D67" s="65"/>
      <c r="E67" s="65"/>
      <c r="F67" s="67" t="n">
        <f>SUM(F55:F66)</f>
        <v>0</v>
      </c>
      <c r="G67" s="67"/>
      <c r="H67" s="67" t="n">
        <f>SUM(H55:H66)</f>
        <v>0</v>
      </c>
      <c r="I67" s="67"/>
      <c r="J67" s="67" t="n">
        <f>SUM(J55:J66)</f>
        <v>0</v>
      </c>
      <c r="K67" s="67"/>
      <c r="L67" s="67" t="n">
        <f>SUM(L55:L66)</f>
        <v>0</v>
      </c>
      <c r="M67" s="68" t="n">
        <f>SUM(M55:M66)</f>
        <v>0</v>
      </c>
    </row>
    <row r="69" ht="23" customHeight="1">
      <c r="A69" s="43" t="str">
        <v>05 · ILUMINACIÓN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>
      <c r="A70" s="57"/>
      <c r="B70" s="49" t="str">
        <f>IFERROR(VLOOKUP($A70,'MAESTRO PRECIOS'!$A$6:$R$631,4,FALSE),"")</f>
      </c>
      <c r="C70" s="47" t="str">
        <f>IFERROR(VLOOKUP($A70,'MAESTRO PRECIOS'!$A$6:$R$631,5,FALSE),"")</f>
      </c>
      <c r="D70" s="55"/>
      <c r="E70" s="59" t="str">
        <f>IFERROR(VLOOKUP($A70,'MAESTRO PRECIOS'!$A$6:$R$631,11,FALSE),"")</f>
      </c>
      <c r="F70" s="59" t="str">
        <f>IF(OR($D70="",$E70=""),"",$D70*$E70)</f>
      </c>
      <c r="G70" s="60" t="str">
        <f>IFERROR(VLOOKUP($A70,'MAESTRO PRECIOS'!$A$6:$R$631,12,FALSE),"")</f>
      </c>
      <c r="H70" s="59" t="str">
        <f>IF(OR($F70="",$G70=""),"",$F70*$G70)</f>
      </c>
      <c r="I70" s="51" t="str">
        <f>IF(OR($E70="",$G70=""),"",$E70*(1+$G70))</f>
      </c>
      <c r="J70" s="51" t="str">
        <f>IF(OR($D70="",$I70=""),"",$D70*$I70)</f>
      </c>
      <c r="K70" s="60" t="str">
        <f>IF($A70="","",0)</f>
      </c>
      <c r="L70" s="59" t="str">
        <f>IF(OR($J70="",$K70=""),"",$J70*$K70)</f>
      </c>
      <c r="M70" s="51" t="str">
        <f>IF($J70="","",$J70-$L70)</f>
      </c>
    </row>
    <row r="71">
      <c r="A71" s="58"/>
      <c r="B71" s="50" t="str">
        <f>IFERROR(VLOOKUP($A71,'MAESTRO PRECIOS'!$A$6:$R$631,4,FALSE),"")</f>
      </c>
      <c r="C71" s="48" t="str">
        <f>IFERROR(VLOOKUP($A71,'MAESTRO PRECIOS'!$A$6:$R$631,5,FALSE),"")</f>
      </c>
      <c r="D71" s="56"/>
      <c r="E71" s="61" t="str">
        <f>IFERROR(VLOOKUP($A71,'MAESTRO PRECIOS'!$A$6:$R$631,11,FALSE),"")</f>
      </c>
      <c r="F71" s="61" t="str">
        <f>IF(OR($D71="",$E71=""),"",$D71*$E71)</f>
      </c>
      <c r="G71" s="62" t="str">
        <f>IFERROR(VLOOKUP($A71,'MAESTRO PRECIOS'!$A$6:$R$631,12,FALSE),"")</f>
      </c>
      <c r="H71" s="61" t="str">
        <f>IF(OR($F71="",$G71=""),"",$F71*$G71)</f>
      </c>
      <c r="I71" s="52" t="str">
        <f>IF(OR($E71="",$G71=""),"",$E71*(1+$G71))</f>
      </c>
      <c r="J71" s="52" t="str">
        <f>IF(OR($D71="",$I71=""),"",$D71*$I71)</f>
      </c>
      <c r="K71" s="62" t="str">
        <f>IF($A71="","",0)</f>
      </c>
      <c r="L71" s="61" t="str">
        <f>IF(OR($J71="",$K71=""),"",$J71*$K71)</f>
      </c>
      <c r="M71" s="52" t="str">
        <f>IF($J71="","",$J71-$L71)</f>
      </c>
    </row>
    <row r="72">
      <c r="A72" s="58"/>
      <c r="B72" s="50" t="str">
        <f>IFERROR(VLOOKUP($A72,'MAESTRO PRECIOS'!$A$6:$R$631,4,FALSE),"")</f>
      </c>
      <c r="C72" s="48" t="str">
        <f>IFERROR(VLOOKUP($A72,'MAESTRO PRECIOS'!$A$6:$R$631,5,FALSE),"")</f>
      </c>
      <c r="D72" s="56"/>
      <c r="E72" s="61" t="str">
        <f>IFERROR(VLOOKUP($A72,'MAESTRO PRECIOS'!$A$6:$R$631,11,FALSE),"")</f>
      </c>
      <c r="F72" s="61" t="str">
        <f>IF(OR($D72="",$E72=""),"",$D72*$E72)</f>
      </c>
      <c r="G72" s="62" t="str">
        <f>IFERROR(VLOOKUP($A72,'MAESTRO PRECIOS'!$A$6:$R$631,12,FALSE),"")</f>
      </c>
      <c r="H72" s="61" t="str">
        <f>IF(OR($F72="",$G72=""),"",$F72*$G72)</f>
      </c>
      <c r="I72" s="52" t="str">
        <f>IF(OR($E72="",$G72=""),"",$E72*(1+$G72))</f>
      </c>
      <c r="J72" s="52" t="str">
        <f>IF(OR($D72="",$I72=""),"",$D72*$I72)</f>
      </c>
      <c r="K72" s="62" t="str">
        <f>IF($A72="","",0)</f>
      </c>
      <c r="L72" s="61" t="str">
        <f>IF(OR($J72="",$K72=""),"",$J72*$K72)</f>
      </c>
      <c r="M72" s="52" t="str">
        <f>IF($J72="","",$J72-$L72)</f>
      </c>
    </row>
    <row r="73">
      <c r="A73" s="58"/>
      <c r="B73" s="50" t="str">
        <f>IFERROR(VLOOKUP($A73,'MAESTRO PRECIOS'!$A$6:$R$631,4,FALSE),"")</f>
      </c>
      <c r="C73" s="48" t="str">
        <f>IFERROR(VLOOKUP($A73,'MAESTRO PRECIOS'!$A$6:$R$631,5,FALSE),"")</f>
      </c>
      <c r="D73" s="56"/>
      <c r="E73" s="61" t="str">
        <f>IFERROR(VLOOKUP($A73,'MAESTRO PRECIOS'!$A$6:$R$631,11,FALSE),"")</f>
      </c>
      <c r="F73" s="61" t="str">
        <f>IF(OR($D73="",$E73=""),"",$D73*$E73)</f>
      </c>
      <c r="G73" s="62" t="str">
        <f>IFERROR(VLOOKUP($A73,'MAESTRO PRECIOS'!$A$6:$R$631,12,FALSE),"")</f>
      </c>
      <c r="H73" s="61" t="str">
        <f>IF(OR($F73="",$G73=""),"",$F73*$G73)</f>
      </c>
      <c r="I73" s="52" t="str">
        <f>IF(OR($E73="",$G73=""),"",$E73*(1+$G73))</f>
      </c>
      <c r="J73" s="52" t="str">
        <f>IF(OR($D73="",$I73=""),"",$D73*$I73)</f>
      </c>
      <c r="K73" s="62" t="str">
        <f>IF($A73="","",0)</f>
      </c>
      <c r="L73" s="61" t="str">
        <f>IF(OR($J73="",$K73=""),"",$J73*$K73)</f>
      </c>
      <c r="M73" s="52" t="str">
        <f>IF($J73="","",$J73-$L73)</f>
      </c>
    </row>
    <row r="74">
      <c r="A74" s="58"/>
      <c r="B74" s="50" t="str">
        <f>IFERROR(VLOOKUP($A74,'MAESTRO PRECIOS'!$A$6:$R$631,4,FALSE),"")</f>
      </c>
      <c r="C74" s="48" t="str">
        <f>IFERROR(VLOOKUP($A74,'MAESTRO PRECIOS'!$A$6:$R$631,5,FALSE),"")</f>
      </c>
      <c r="D74" s="56"/>
      <c r="E74" s="61" t="str">
        <f>IFERROR(VLOOKUP($A74,'MAESTRO PRECIOS'!$A$6:$R$631,11,FALSE),"")</f>
      </c>
      <c r="F74" s="61" t="str">
        <f>IF(OR($D74="",$E74=""),"",$D74*$E74)</f>
      </c>
      <c r="G74" s="62" t="str">
        <f>IFERROR(VLOOKUP($A74,'MAESTRO PRECIOS'!$A$6:$R$631,12,FALSE),"")</f>
      </c>
      <c r="H74" s="61" t="str">
        <f>IF(OR($F74="",$G74=""),"",$F74*$G74)</f>
      </c>
      <c r="I74" s="52" t="str">
        <f>IF(OR($E74="",$G74=""),"",$E74*(1+$G74))</f>
      </c>
      <c r="J74" s="52" t="str">
        <f>IF(OR($D74="",$I74=""),"",$D74*$I74)</f>
      </c>
      <c r="K74" s="62" t="str">
        <f>IF($A74="","",0)</f>
      </c>
      <c r="L74" s="61" t="str">
        <f>IF(OR($J74="",$K74=""),"",$J74*$K74)</f>
      </c>
      <c r="M74" s="52" t="str">
        <f>IF($J74="","",$J74-$L74)</f>
      </c>
    </row>
    <row r="75">
      <c r="A75" s="58"/>
      <c r="B75" s="50" t="str">
        <f>IFERROR(VLOOKUP($A75,'MAESTRO PRECIOS'!$A$6:$R$631,4,FALSE),"")</f>
      </c>
      <c r="C75" s="48" t="str">
        <f>IFERROR(VLOOKUP($A75,'MAESTRO PRECIOS'!$A$6:$R$631,5,FALSE),"")</f>
      </c>
      <c r="D75" s="56"/>
      <c r="E75" s="61" t="str">
        <f>IFERROR(VLOOKUP($A75,'MAESTRO PRECIOS'!$A$6:$R$631,11,FALSE),"")</f>
      </c>
      <c r="F75" s="61" t="str">
        <f>IF(OR($D75="",$E75=""),"",$D75*$E75)</f>
      </c>
      <c r="G75" s="62" t="str">
        <f>IFERROR(VLOOKUP($A75,'MAESTRO PRECIOS'!$A$6:$R$631,12,FALSE),"")</f>
      </c>
      <c r="H75" s="61" t="str">
        <f>IF(OR($F75="",$G75=""),"",$F75*$G75)</f>
      </c>
      <c r="I75" s="52" t="str">
        <f>IF(OR($E75="",$G75=""),"",$E75*(1+$G75))</f>
      </c>
      <c r="J75" s="52" t="str">
        <f>IF(OR($D75="",$I75=""),"",$D75*$I75)</f>
      </c>
      <c r="K75" s="62" t="str">
        <f>IF($A75="","",0)</f>
      </c>
      <c r="L75" s="61" t="str">
        <f>IF(OR($J75="",$K75=""),"",$J75*$K75)</f>
      </c>
      <c r="M75" s="52" t="str">
        <f>IF($J75="","",$J75-$L75)</f>
      </c>
    </row>
    <row r="76">
      <c r="A76" s="58"/>
      <c r="B76" s="50" t="str">
        <f>IFERROR(VLOOKUP($A76,'MAESTRO PRECIOS'!$A$6:$R$631,4,FALSE),"")</f>
      </c>
      <c r="C76" s="48" t="str">
        <f>IFERROR(VLOOKUP($A76,'MAESTRO PRECIOS'!$A$6:$R$631,5,FALSE),"")</f>
      </c>
      <c r="D76" s="56"/>
      <c r="E76" s="61" t="str">
        <f>IFERROR(VLOOKUP($A76,'MAESTRO PRECIOS'!$A$6:$R$631,11,FALSE),"")</f>
      </c>
      <c r="F76" s="61" t="str">
        <f>IF(OR($D76="",$E76=""),"",$D76*$E76)</f>
      </c>
      <c r="G76" s="62" t="str">
        <f>IFERROR(VLOOKUP($A76,'MAESTRO PRECIOS'!$A$6:$R$631,12,FALSE),"")</f>
      </c>
      <c r="H76" s="61" t="str">
        <f>IF(OR($F76="",$G76=""),"",$F76*$G76)</f>
      </c>
      <c r="I76" s="52" t="str">
        <f>IF(OR($E76="",$G76=""),"",$E76*(1+$G76))</f>
      </c>
      <c r="J76" s="52" t="str">
        <f>IF(OR($D76="",$I76=""),"",$D76*$I76)</f>
      </c>
      <c r="K76" s="62" t="str">
        <f>IF($A76="","",0)</f>
      </c>
      <c r="L76" s="61" t="str">
        <f>IF(OR($J76="",$K76=""),"",$J76*$K76)</f>
      </c>
      <c r="M76" s="52" t="str">
        <f>IF($J76="","",$J76-$L76)</f>
      </c>
    </row>
    <row r="77">
      <c r="A77" s="58"/>
      <c r="B77" s="50" t="str">
        <f>IFERROR(VLOOKUP($A77,'MAESTRO PRECIOS'!$A$6:$R$631,4,FALSE),"")</f>
      </c>
      <c r="C77" s="48" t="str">
        <f>IFERROR(VLOOKUP($A77,'MAESTRO PRECIOS'!$A$6:$R$631,5,FALSE),"")</f>
      </c>
      <c r="D77" s="56"/>
      <c r="E77" s="61" t="str">
        <f>IFERROR(VLOOKUP($A77,'MAESTRO PRECIOS'!$A$6:$R$631,11,FALSE),"")</f>
      </c>
      <c r="F77" s="61" t="str">
        <f>IF(OR($D77="",$E77=""),"",$D77*$E77)</f>
      </c>
      <c r="G77" s="62" t="str">
        <f>IFERROR(VLOOKUP($A77,'MAESTRO PRECIOS'!$A$6:$R$631,12,FALSE),"")</f>
      </c>
      <c r="H77" s="61" t="str">
        <f>IF(OR($F77="",$G77=""),"",$F77*$G77)</f>
      </c>
      <c r="I77" s="52" t="str">
        <f>IF(OR($E77="",$G77=""),"",$E77*(1+$G77))</f>
      </c>
      <c r="J77" s="52" t="str">
        <f>IF(OR($D77="",$I77=""),"",$D77*$I77)</f>
      </c>
      <c r="K77" s="62" t="str">
        <f>IF($A77="","",0)</f>
      </c>
      <c r="L77" s="61" t="str">
        <f>IF(OR($J77="",$K77=""),"",$J77*$K77)</f>
      </c>
      <c r="M77" s="52" t="str">
        <f>IF($J77="","",$J77-$L77)</f>
      </c>
    </row>
    <row r="78">
      <c r="A78" s="58"/>
      <c r="B78" s="50" t="str">
        <f>IFERROR(VLOOKUP($A78,'MAESTRO PRECIOS'!$A$6:$R$631,4,FALSE),"")</f>
      </c>
      <c r="C78" s="48" t="str">
        <f>IFERROR(VLOOKUP($A78,'MAESTRO PRECIOS'!$A$6:$R$631,5,FALSE),"")</f>
      </c>
      <c r="D78" s="56"/>
      <c r="E78" s="61" t="str">
        <f>IFERROR(VLOOKUP($A78,'MAESTRO PRECIOS'!$A$6:$R$631,11,FALSE),"")</f>
      </c>
      <c r="F78" s="61" t="str">
        <f>IF(OR($D78="",$E78=""),"",$D78*$E78)</f>
      </c>
      <c r="G78" s="62" t="str">
        <f>IFERROR(VLOOKUP($A78,'MAESTRO PRECIOS'!$A$6:$R$631,12,FALSE),"")</f>
      </c>
      <c r="H78" s="61" t="str">
        <f>IF(OR($F78="",$G78=""),"",$F78*$G78)</f>
      </c>
      <c r="I78" s="52" t="str">
        <f>IF(OR($E78="",$G78=""),"",$E78*(1+$G78))</f>
      </c>
      <c r="J78" s="52" t="str">
        <f>IF(OR($D78="",$I78=""),"",$D78*$I78)</f>
      </c>
      <c r="K78" s="62" t="str">
        <f>IF($A78="","",0)</f>
      </c>
      <c r="L78" s="61" t="str">
        <f>IF(OR($J78="",$K78=""),"",$J78*$K78)</f>
      </c>
      <c r="M78" s="52" t="str">
        <f>IF($J78="","",$J78-$L78)</f>
      </c>
    </row>
    <row r="79">
      <c r="A79" s="58"/>
      <c r="B79" s="50" t="str">
        <f>IFERROR(VLOOKUP($A79,'MAESTRO PRECIOS'!$A$6:$R$631,4,FALSE),"")</f>
      </c>
      <c r="C79" s="48" t="str">
        <f>IFERROR(VLOOKUP($A79,'MAESTRO PRECIOS'!$A$6:$R$631,5,FALSE),"")</f>
      </c>
      <c r="D79" s="56"/>
      <c r="E79" s="61" t="str">
        <f>IFERROR(VLOOKUP($A79,'MAESTRO PRECIOS'!$A$6:$R$631,11,FALSE),"")</f>
      </c>
      <c r="F79" s="61" t="str">
        <f>IF(OR($D79="",$E79=""),"",$D79*$E79)</f>
      </c>
      <c r="G79" s="62" t="str">
        <f>IFERROR(VLOOKUP($A79,'MAESTRO PRECIOS'!$A$6:$R$631,12,FALSE),"")</f>
      </c>
      <c r="H79" s="61" t="str">
        <f>IF(OR($F79="",$G79=""),"",$F79*$G79)</f>
      </c>
      <c r="I79" s="52" t="str">
        <f>IF(OR($E79="",$G79=""),"",$E79*(1+$G79))</f>
      </c>
      <c r="J79" s="52" t="str">
        <f>IF(OR($D79="",$I79=""),"",$D79*$I79)</f>
      </c>
      <c r="K79" s="62" t="str">
        <f>IF($A79="","",0)</f>
      </c>
      <c r="L79" s="61" t="str">
        <f>IF(OR($J79="",$K79=""),"",$J79*$K79)</f>
      </c>
      <c r="M79" s="52" t="str">
        <f>IF($J79="","",$J79-$L79)</f>
      </c>
    </row>
    <row r="80">
      <c r="A80" s="58"/>
      <c r="B80" s="50" t="str">
        <f>IFERROR(VLOOKUP($A80,'MAESTRO PRECIOS'!$A$6:$R$631,4,FALSE),"")</f>
      </c>
      <c r="C80" s="48" t="str">
        <f>IFERROR(VLOOKUP($A80,'MAESTRO PRECIOS'!$A$6:$R$631,5,FALSE),"")</f>
      </c>
      <c r="D80" s="56"/>
      <c r="E80" s="61" t="str">
        <f>IFERROR(VLOOKUP($A80,'MAESTRO PRECIOS'!$A$6:$R$631,11,FALSE),"")</f>
      </c>
      <c r="F80" s="61" t="str">
        <f>IF(OR($D80="",$E80=""),"",$D80*$E80)</f>
      </c>
      <c r="G80" s="62" t="str">
        <f>IFERROR(VLOOKUP($A80,'MAESTRO PRECIOS'!$A$6:$R$631,12,FALSE),"")</f>
      </c>
      <c r="H80" s="61" t="str">
        <f>IF(OR($F80="",$G80=""),"",$F80*$G80)</f>
      </c>
      <c r="I80" s="52" t="str">
        <f>IF(OR($E80="",$G80=""),"",$E80*(1+$G80))</f>
      </c>
      <c r="J80" s="52" t="str">
        <f>IF(OR($D80="",$I80=""),"",$D80*$I80)</f>
      </c>
      <c r="K80" s="62" t="str">
        <f>IF($A80="","",0)</f>
      </c>
      <c r="L80" s="61" t="str">
        <f>IF(OR($J80="",$K80=""),"",$J80*$K80)</f>
      </c>
      <c r="M80" s="52" t="str">
        <f>IF($J80="","",$J80-$L80)</f>
      </c>
    </row>
    <row r="81">
      <c r="A81" s="58"/>
      <c r="B81" s="50" t="str">
        <f>IFERROR(VLOOKUP($A81,'MAESTRO PRECIOS'!$A$6:$R$631,4,FALSE),"")</f>
      </c>
      <c r="C81" s="48" t="str">
        <f>IFERROR(VLOOKUP($A81,'MAESTRO PRECIOS'!$A$6:$R$631,5,FALSE),"")</f>
      </c>
      <c r="D81" s="56"/>
      <c r="E81" s="61" t="str">
        <f>IFERROR(VLOOKUP($A81,'MAESTRO PRECIOS'!$A$6:$R$631,11,FALSE),"")</f>
      </c>
      <c r="F81" s="61" t="str">
        <f>IF(OR($D81="",$E81=""),"",$D81*$E81)</f>
      </c>
      <c r="G81" s="62" t="str">
        <f>IFERROR(VLOOKUP($A81,'MAESTRO PRECIOS'!$A$6:$R$631,12,FALSE),"")</f>
      </c>
      <c r="H81" s="61" t="str">
        <f>IF(OR($F81="",$G81=""),"",$F81*$G81)</f>
      </c>
      <c r="I81" s="52" t="str">
        <f>IF(OR($E81="",$G81=""),"",$E81*(1+$G81))</f>
      </c>
      <c r="J81" s="52" t="str">
        <f>IF(OR($D81="",$I81=""),"",$D81*$I81)</f>
      </c>
      <c r="K81" s="62" t="str">
        <f>IF($A81="","",0)</f>
      </c>
      <c r="L81" s="61" t="str">
        <f>IF(OR($J81="",$K81=""),"",$J81*$K81)</f>
      </c>
      <c r="M81" s="52" t="str">
        <f>IF($J81="","",$J81-$L81)</f>
      </c>
    </row>
    <row r="82">
      <c r="A82" s="64" t="str">
        <v>SUBTOTAL · ILUMINACIÓN</v>
      </c>
      <c r="B82" s="65"/>
      <c r="C82" s="65"/>
      <c r="D82" s="65"/>
      <c r="E82" s="65"/>
      <c r="F82" s="67" t="n">
        <f>SUM(F70:F81)</f>
        <v>0</v>
      </c>
      <c r="G82" s="67"/>
      <c r="H82" s="67" t="n">
        <f>SUM(H70:H81)</f>
        <v>0</v>
      </c>
      <c r="I82" s="67"/>
      <c r="J82" s="67" t="n">
        <f>SUM(J70:J81)</f>
        <v>0</v>
      </c>
      <c r="K82" s="67"/>
      <c r="L82" s="67" t="n">
        <f>SUM(L70:L81)</f>
        <v>0</v>
      </c>
      <c r="M82" s="68" t="n">
        <f>SUM(M70:M81)</f>
        <v>0</v>
      </c>
    </row>
    <row r="84" ht="23" customHeight="1">
      <c r="A84" s="43" t="str">
        <v>06 · OBRA CIVIL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</row>
    <row r="85">
      <c r="A85" s="57"/>
      <c r="B85" s="49" t="str">
        <f>IFERROR(VLOOKUP($A85,'MAESTRO PRECIOS'!$A$6:$R$631,4,FALSE),"")</f>
      </c>
      <c r="C85" s="47" t="str">
        <f>IFERROR(VLOOKUP($A85,'MAESTRO PRECIOS'!$A$6:$R$631,5,FALSE),"")</f>
      </c>
      <c r="D85" s="55"/>
      <c r="E85" s="59" t="str">
        <f>IFERROR(VLOOKUP($A85,'MAESTRO PRECIOS'!$A$6:$R$631,11,FALSE),"")</f>
      </c>
      <c r="F85" s="59" t="str">
        <f>IF(OR($D85="",$E85=""),"",$D85*$E85)</f>
      </c>
      <c r="G85" s="60" t="str">
        <f>IFERROR(VLOOKUP($A85,'MAESTRO PRECIOS'!$A$6:$R$631,12,FALSE),"")</f>
      </c>
      <c r="H85" s="59" t="str">
        <f>IF(OR($F85="",$G85=""),"",$F85*$G85)</f>
      </c>
      <c r="I85" s="51" t="str">
        <f>IF(OR($E85="",$G85=""),"",$E85*(1+$G85))</f>
      </c>
      <c r="J85" s="51" t="str">
        <f>IF(OR($D85="",$I85=""),"",$D85*$I85)</f>
      </c>
      <c r="K85" s="60" t="str">
        <f>IF($A85="","",0)</f>
      </c>
      <c r="L85" s="59" t="str">
        <f>IF(OR($J85="",$K85=""),"",$J85*$K85)</f>
      </c>
      <c r="M85" s="51" t="str">
        <f>IF($J85="","",$J85-$L85)</f>
      </c>
    </row>
    <row r="86">
      <c r="A86" s="58"/>
      <c r="B86" s="50" t="str">
        <f>IFERROR(VLOOKUP($A86,'MAESTRO PRECIOS'!$A$6:$R$631,4,FALSE),"")</f>
      </c>
      <c r="C86" s="48" t="str">
        <f>IFERROR(VLOOKUP($A86,'MAESTRO PRECIOS'!$A$6:$R$631,5,FALSE),"")</f>
      </c>
      <c r="D86" s="56"/>
      <c r="E86" s="61" t="str">
        <f>IFERROR(VLOOKUP($A86,'MAESTRO PRECIOS'!$A$6:$R$631,11,FALSE),"")</f>
      </c>
      <c r="F86" s="61" t="str">
        <f>IF(OR($D86="",$E86=""),"",$D86*$E86)</f>
      </c>
      <c r="G86" s="62" t="str">
        <f>IFERROR(VLOOKUP($A86,'MAESTRO PRECIOS'!$A$6:$R$631,12,FALSE),"")</f>
      </c>
      <c r="H86" s="61" t="str">
        <f>IF(OR($F86="",$G86=""),"",$F86*$G86)</f>
      </c>
      <c r="I86" s="52" t="str">
        <f>IF(OR($E86="",$G86=""),"",$E86*(1+$G86))</f>
      </c>
      <c r="J86" s="52" t="str">
        <f>IF(OR($D86="",$I86=""),"",$D86*$I86)</f>
      </c>
      <c r="K86" s="62" t="str">
        <f>IF($A86="","",0)</f>
      </c>
      <c r="L86" s="61" t="str">
        <f>IF(OR($J86="",$K86=""),"",$J86*$K86)</f>
      </c>
      <c r="M86" s="52" t="str">
        <f>IF($J86="","",$J86-$L86)</f>
      </c>
    </row>
    <row r="87">
      <c r="A87" s="58"/>
      <c r="B87" s="50" t="str">
        <f>IFERROR(VLOOKUP($A87,'MAESTRO PRECIOS'!$A$6:$R$631,4,FALSE),"")</f>
      </c>
      <c r="C87" s="48" t="str">
        <f>IFERROR(VLOOKUP($A87,'MAESTRO PRECIOS'!$A$6:$R$631,5,FALSE),"")</f>
      </c>
      <c r="D87" s="56"/>
      <c r="E87" s="61" t="str">
        <f>IFERROR(VLOOKUP($A87,'MAESTRO PRECIOS'!$A$6:$R$631,11,FALSE),"")</f>
      </c>
      <c r="F87" s="61" t="str">
        <f>IF(OR($D87="",$E87=""),"",$D87*$E87)</f>
      </c>
      <c r="G87" s="62" t="str">
        <f>IFERROR(VLOOKUP($A87,'MAESTRO PRECIOS'!$A$6:$R$631,12,FALSE),"")</f>
      </c>
      <c r="H87" s="61" t="str">
        <f>IF(OR($F87="",$G87=""),"",$F87*$G87)</f>
      </c>
      <c r="I87" s="52" t="str">
        <f>IF(OR($E87="",$G87=""),"",$E87*(1+$G87))</f>
      </c>
      <c r="J87" s="52" t="str">
        <f>IF(OR($D87="",$I87=""),"",$D87*$I87)</f>
      </c>
      <c r="K87" s="62" t="str">
        <f>IF($A87="","",0)</f>
      </c>
      <c r="L87" s="61" t="str">
        <f>IF(OR($J87="",$K87=""),"",$J87*$K87)</f>
      </c>
      <c r="M87" s="52" t="str">
        <f>IF($J87="","",$J87-$L87)</f>
      </c>
    </row>
    <row r="88">
      <c r="A88" s="58"/>
      <c r="B88" s="50" t="str">
        <f>IFERROR(VLOOKUP($A88,'MAESTRO PRECIOS'!$A$6:$R$631,4,FALSE),"")</f>
      </c>
      <c r="C88" s="48" t="str">
        <f>IFERROR(VLOOKUP($A88,'MAESTRO PRECIOS'!$A$6:$R$631,5,FALSE),"")</f>
      </c>
      <c r="D88" s="56"/>
      <c r="E88" s="61" t="str">
        <f>IFERROR(VLOOKUP($A88,'MAESTRO PRECIOS'!$A$6:$R$631,11,FALSE),"")</f>
      </c>
      <c r="F88" s="61" t="str">
        <f>IF(OR($D88="",$E88=""),"",$D88*$E88)</f>
      </c>
      <c r="G88" s="62" t="str">
        <f>IFERROR(VLOOKUP($A88,'MAESTRO PRECIOS'!$A$6:$R$631,12,FALSE),"")</f>
      </c>
      <c r="H88" s="61" t="str">
        <f>IF(OR($F88="",$G88=""),"",$F88*$G88)</f>
      </c>
      <c r="I88" s="52" t="str">
        <f>IF(OR($E88="",$G88=""),"",$E88*(1+$G88))</f>
      </c>
      <c r="J88" s="52" t="str">
        <f>IF(OR($D88="",$I88=""),"",$D88*$I88)</f>
      </c>
      <c r="K88" s="62" t="str">
        <f>IF($A88="","",0)</f>
      </c>
      <c r="L88" s="61" t="str">
        <f>IF(OR($J88="",$K88=""),"",$J88*$K88)</f>
      </c>
      <c r="M88" s="52" t="str">
        <f>IF($J88="","",$J88-$L88)</f>
      </c>
    </row>
    <row r="89">
      <c r="A89" s="58"/>
      <c r="B89" s="50" t="str">
        <f>IFERROR(VLOOKUP($A89,'MAESTRO PRECIOS'!$A$6:$R$631,4,FALSE),"")</f>
      </c>
      <c r="C89" s="48" t="str">
        <f>IFERROR(VLOOKUP($A89,'MAESTRO PRECIOS'!$A$6:$R$631,5,FALSE),"")</f>
      </c>
      <c r="D89" s="56"/>
      <c r="E89" s="61" t="str">
        <f>IFERROR(VLOOKUP($A89,'MAESTRO PRECIOS'!$A$6:$R$631,11,FALSE),"")</f>
      </c>
      <c r="F89" s="61" t="str">
        <f>IF(OR($D89="",$E89=""),"",$D89*$E89)</f>
      </c>
      <c r="G89" s="62" t="str">
        <f>IFERROR(VLOOKUP($A89,'MAESTRO PRECIOS'!$A$6:$R$631,12,FALSE),"")</f>
      </c>
      <c r="H89" s="61" t="str">
        <f>IF(OR($F89="",$G89=""),"",$F89*$G89)</f>
      </c>
      <c r="I89" s="52" t="str">
        <f>IF(OR($E89="",$G89=""),"",$E89*(1+$G89))</f>
      </c>
      <c r="J89" s="52" t="str">
        <f>IF(OR($D89="",$I89=""),"",$D89*$I89)</f>
      </c>
      <c r="K89" s="62" t="str">
        <f>IF($A89="","",0)</f>
      </c>
      <c r="L89" s="61" t="str">
        <f>IF(OR($J89="",$K89=""),"",$J89*$K89)</f>
      </c>
      <c r="M89" s="52" t="str">
        <f>IF($J89="","",$J89-$L89)</f>
      </c>
    </row>
    <row r="90">
      <c r="A90" s="58"/>
      <c r="B90" s="50" t="str">
        <f>IFERROR(VLOOKUP($A90,'MAESTRO PRECIOS'!$A$6:$R$631,4,FALSE),"")</f>
      </c>
      <c r="C90" s="48" t="str">
        <f>IFERROR(VLOOKUP($A90,'MAESTRO PRECIOS'!$A$6:$R$631,5,FALSE),"")</f>
      </c>
      <c r="D90" s="56"/>
      <c r="E90" s="61" t="str">
        <f>IFERROR(VLOOKUP($A90,'MAESTRO PRECIOS'!$A$6:$R$631,11,FALSE),"")</f>
      </c>
      <c r="F90" s="61" t="str">
        <f>IF(OR($D90="",$E90=""),"",$D90*$E90)</f>
      </c>
      <c r="G90" s="62" t="str">
        <f>IFERROR(VLOOKUP($A90,'MAESTRO PRECIOS'!$A$6:$R$631,12,FALSE),"")</f>
      </c>
      <c r="H90" s="61" t="str">
        <f>IF(OR($F90="",$G90=""),"",$F90*$G90)</f>
      </c>
      <c r="I90" s="52" t="str">
        <f>IF(OR($E90="",$G90=""),"",$E90*(1+$G90))</f>
      </c>
      <c r="J90" s="52" t="str">
        <f>IF(OR($D90="",$I90=""),"",$D90*$I90)</f>
      </c>
      <c r="K90" s="62" t="str">
        <f>IF($A90="","",0)</f>
      </c>
      <c r="L90" s="61" t="str">
        <f>IF(OR($J90="",$K90=""),"",$J90*$K90)</f>
      </c>
      <c r="M90" s="52" t="str">
        <f>IF($J90="","",$J90-$L90)</f>
      </c>
    </row>
    <row r="91">
      <c r="A91" s="58"/>
      <c r="B91" s="50" t="str">
        <f>IFERROR(VLOOKUP($A91,'MAESTRO PRECIOS'!$A$6:$R$631,4,FALSE),"")</f>
      </c>
      <c r="C91" s="48" t="str">
        <f>IFERROR(VLOOKUP($A91,'MAESTRO PRECIOS'!$A$6:$R$631,5,FALSE),"")</f>
      </c>
      <c r="D91" s="56"/>
      <c r="E91" s="61" t="str">
        <f>IFERROR(VLOOKUP($A91,'MAESTRO PRECIOS'!$A$6:$R$631,11,FALSE),"")</f>
      </c>
      <c r="F91" s="61" t="str">
        <f>IF(OR($D91="",$E91=""),"",$D91*$E91)</f>
      </c>
      <c r="G91" s="62" t="str">
        <f>IFERROR(VLOOKUP($A91,'MAESTRO PRECIOS'!$A$6:$R$631,12,FALSE),"")</f>
      </c>
      <c r="H91" s="61" t="str">
        <f>IF(OR($F91="",$G91=""),"",$F91*$G91)</f>
      </c>
      <c r="I91" s="52" t="str">
        <f>IF(OR($E91="",$G91=""),"",$E91*(1+$G91))</f>
      </c>
      <c r="J91" s="52" t="str">
        <f>IF(OR($D91="",$I91=""),"",$D91*$I91)</f>
      </c>
      <c r="K91" s="62" t="str">
        <f>IF($A91="","",0)</f>
      </c>
      <c r="L91" s="61" t="str">
        <f>IF(OR($J91="",$K91=""),"",$J91*$K91)</f>
      </c>
      <c r="M91" s="52" t="str">
        <f>IF($J91="","",$J91-$L91)</f>
      </c>
    </row>
    <row r="92">
      <c r="A92" s="58"/>
      <c r="B92" s="50" t="str">
        <f>IFERROR(VLOOKUP($A92,'MAESTRO PRECIOS'!$A$6:$R$631,4,FALSE),"")</f>
      </c>
      <c r="C92" s="48" t="str">
        <f>IFERROR(VLOOKUP($A92,'MAESTRO PRECIOS'!$A$6:$R$631,5,FALSE),"")</f>
      </c>
      <c r="D92" s="56"/>
      <c r="E92" s="61" t="str">
        <f>IFERROR(VLOOKUP($A92,'MAESTRO PRECIOS'!$A$6:$R$631,11,FALSE),"")</f>
      </c>
      <c r="F92" s="61" t="str">
        <f>IF(OR($D92="",$E92=""),"",$D92*$E92)</f>
      </c>
      <c r="G92" s="62" t="str">
        <f>IFERROR(VLOOKUP($A92,'MAESTRO PRECIOS'!$A$6:$R$631,12,FALSE),"")</f>
      </c>
      <c r="H92" s="61" t="str">
        <f>IF(OR($F92="",$G92=""),"",$F92*$G92)</f>
      </c>
      <c r="I92" s="52" t="str">
        <f>IF(OR($E92="",$G92=""),"",$E92*(1+$G92))</f>
      </c>
      <c r="J92" s="52" t="str">
        <f>IF(OR($D92="",$I92=""),"",$D92*$I92)</f>
      </c>
      <c r="K92" s="62" t="str">
        <f>IF($A92="","",0)</f>
      </c>
      <c r="L92" s="61" t="str">
        <f>IF(OR($J92="",$K92=""),"",$J92*$K92)</f>
      </c>
      <c r="M92" s="52" t="str">
        <f>IF($J92="","",$J92-$L92)</f>
      </c>
    </row>
    <row r="93">
      <c r="A93" s="58"/>
      <c r="B93" s="50" t="str">
        <f>IFERROR(VLOOKUP($A93,'MAESTRO PRECIOS'!$A$6:$R$631,4,FALSE),"")</f>
      </c>
      <c r="C93" s="48" t="str">
        <f>IFERROR(VLOOKUP($A93,'MAESTRO PRECIOS'!$A$6:$R$631,5,FALSE),"")</f>
      </c>
      <c r="D93" s="56"/>
      <c r="E93" s="61" t="str">
        <f>IFERROR(VLOOKUP($A93,'MAESTRO PRECIOS'!$A$6:$R$631,11,FALSE),"")</f>
      </c>
      <c r="F93" s="61" t="str">
        <f>IF(OR($D93="",$E93=""),"",$D93*$E93)</f>
      </c>
      <c r="G93" s="62" t="str">
        <f>IFERROR(VLOOKUP($A93,'MAESTRO PRECIOS'!$A$6:$R$631,12,FALSE),"")</f>
      </c>
      <c r="H93" s="61" t="str">
        <f>IF(OR($F93="",$G93=""),"",$F93*$G93)</f>
      </c>
      <c r="I93" s="52" t="str">
        <f>IF(OR($E93="",$G93=""),"",$E93*(1+$G93))</f>
      </c>
      <c r="J93" s="52" t="str">
        <f>IF(OR($D93="",$I93=""),"",$D93*$I93)</f>
      </c>
      <c r="K93" s="62" t="str">
        <f>IF($A93="","",0)</f>
      </c>
      <c r="L93" s="61" t="str">
        <f>IF(OR($J93="",$K93=""),"",$J93*$K93)</f>
      </c>
      <c r="M93" s="52" t="str">
        <f>IF($J93="","",$J93-$L93)</f>
      </c>
    </row>
    <row r="94">
      <c r="A94" s="58"/>
      <c r="B94" s="50" t="str">
        <f>IFERROR(VLOOKUP($A94,'MAESTRO PRECIOS'!$A$6:$R$631,4,FALSE),"")</f>
      </c>
      <c r="C94" s="48" t="str">
        <f>IFERROR(VLOOKUP($A94,'MAESTRO PRECIOS'!$A$6:$R$631,5,FALSE),"")</f>
      </c>
      <c r="D94" s="56"/>
      <c r="E94" s="61" t="str">
        <f>IFERROR(VLOOKUP($A94,'MAESTRO PRECIOS'!$A$6:$R$631,11,FALSE),"")</f>
      </c>
      <c r="F94" s="61" t="str">
        <f>IF(OR($D94="",$E94=""),"",$D94*$E94)</f>
      </c>
      <c r="G94" s="62" t="str">
        <f>IFERROR(VLOOKUP($A94,'MAESTRO PRECIOS'!$A$6:$R$631,12,FALSE),"")</f>
      </c>
      <c r="H94" s="61" t="str">
        <f>IF(OR($F94="",$G94=""),"",$F94*$G94)</f>
      </c>
      <c r="I94" s="52" t="str">
        <f>IF(OR($E94="",$G94=""),"",$E94*(1+$G94))</f>
      </c>
      <c r="J94" s="52" t="str">
        <f>IF(OR($D94="",$I94=""),"",$D94*$I94)</f>
      </c>
      <c r="K94" s="62" t="str">
        <f>IF($A94="","",0)</f>
      </c>
      <c r="L94" s="61" t="str">
        <f>IF(OR($J94="",$K94=""),"",$J94*$K94)</f>
      </c>
      <c r="M94" s="52" t="str">
        <f>IF($J94="","",$J94-$L94)</f>
      </c>
    </row>
    <row r="95">
      <c r="A95" s="58"/>
      <c r="B95" s="50" t="str">
        <f>IFERROR(VLOOKUP($A95,'MAESTRO PRECIOS'!$A$6:$R$631,4,FALSE),"")</f>
      </c>
      <c r="C95" s="48" t="str">
        <f>IFERROR(VLOOKUP($A95,'MAESTRO PRECIOS'!$A$6:$R$631,5,FALSE),"")</f>
      </c>
      <c r="D95" s="56"/>
      <c r="E95" s="61" t="str">
        <f>IFERROR(VLOOKUP($A95,'MAESTRO PRECIOS'!$A$6:$R$631,11,FALSE),"")</f>
      </c>
      <c r="F95" s="61" t="str">
        <f>IF(OR($D95="",$E95=""),"",$D95*$E95)</f>
      </c>
      <c r="G95" s="62" t="str">
        <f>IFERROR(VLOOKUP($A95,'MAESTRO PRECIOS'!$A$6:$R$631,12,FALSE),"")</f>
      </c>
      <c r="H95" s="61" t="str">
        <f>IF(OR($F95="",$G95=""),"",$F95*$G95)</f>
      </c>
      <c r="I95" s="52" t="str">
        <f>IF(OR($E95="",$G95=""),"",$E95*(1+$G95))</f>
      </c>
      <c r="J95" s="52" t="str">
        <f>IF(OR($D95="",$I95=""),"",$D95*$I95)</f>
      </c>
      <c r="K95" s="62" t="str">
        <f>IF($A95="","",0)</f>
      </c>
      <c r="L95" s="61" t="str">
        <f>IF(OR($J95="",$K95=""),"",$J95*$K95)</f>
      </c>
      <c r="M95" s="52" t="str">
        <f>IF($J95="","",$J95-$L95)</f>
      </c>
    </row>
    <row r="96">
      <c r="A96" s="58"/>
      <c r="B96" s="50" t="str">
        <f>IFERROR(VLOOKUP($A96,'MAESTRO PRECIOS'!$A$6:$R$631,4,FALSE),"")</f>
      </c>
      <c r="C96" s="48" t="str">
        <f>IFERROR(VLOOKUP($A96,'MAESTRO PRECIOS'!$A$6:$R$631,5,FALSE),"")</f>
      </c>
      <c r="D96" s="56"/>
      <c r="E96" s="61" t="str">
        <f>IFERROR(VLOOKUP($A96,'MAESTRO PRECIOS'!$A$6:$R$631,11,FALSE),"")</f>
      </c>
      <c r="F96" s="61" t="str">
        <f>IF(OR($D96="",$E96=""),"",$D96*$E96)</f>
      </c>
      <c r="G96" s="62" t="str">
        <f>IFERROR(VLOOKUP($A96,'MAESTRO PRECIOS'!$A$6:$R$631,12,FALSE),"")</f>
      </c>
      <c r="H96" s="61" t="str">
        <f>IF(OR($F96="",$G96=""),"",$F96*$G96)</f>
      </c>
      <c r="I96" s="52" t="str">
        <f>IF(OR($E96="",$G96=""),"",$E96*(1+$G96))</f>
      </c>
      <c r="J96" s="52" t="str">
        <f>IF(OR($D96="",$I96=""),"",$D96*$I96)</f>
      </c>
      <c r="K96" s="62" t="str">
        <f>IF($A96="","",0)</f>
      </c>
      <c r="L96" s="61" t="str">
        <f>IF(OR($J96="",$K96=""),"",$J96*$K96)</f>
      </c>
      <c r="M96" s="52" t="str">
        <f>IF($J96="","",$J96-$L96)</f>
      </c>
    </row>
    <row r="97">
      <c r="A97" s="64" t="str">
        <v>SUBTOTAL · OBRA CIVIL</v>
      </c>
      <c r="B97" s="65"/>
      <c r="C97" s="65"/>
      <c r="D97" s="65"/>
      <c r="E97" s="65"/>
      <c r="F97" s="67" t="n">
        <f>SUM(F85:F96)</f>
        <v>0</v>
      </c>
      <c r="G97" s="67"/>
      <c r="H97" s="67" t="n">
        <f>SUM(H85:H96)</f>
        <v>0</v>
      </c>
      <c r="I97" s="67"/>
      <c r="J97" s="67" t="n">
        <f>SUM(J85:J96)</f>
        <v>0</v>
      </c>
      <c r="K97" s="67"/>
      <c r="L97" s="67" t="n">
        <f>SUM(L85:L96)</f>
        <v>0</v>
      </c>
      <c r="M97" s="68" t="n">
        <f>SUM(M85:M96)</f>
        <v>0</v>
      </c>
    </row>
    <row r="99" ht="23" customHeight="1">
      <c r="A99" s="43" t="str">
        <v>07 · VARIOS, TRANSPORTE Y MONTAJE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</row>
    <row r="100">
      <c r="A100" s="57"/>
      <c r="B100" s="49" t="str">
        <f>IFERROR(VLOOKUP($A100,'MAESTRO PRECIOS'!$A$6:$R$631,4,FALSE),"")</f>
      </c>
      <c r="C100" s="47" t="str">
        <f>IFERROR(VLOOKUP($A100,'MAESTRO PRECIOS'!$A$6:$R$631,5,FALSE),"")</f>
      </c>
      <c r="D100" s="55"/>
      <c r="E100" s="59" t="str">
        <f>IFERROR(VLOOKUP($A100,'MAESTRO PRECIOS'!$A$6:$R$631,11,FALSE),"")</f>
      </c>
      <c r="F100" s="59" t="str">
        <f>IF(OR($D100="",$E100=""),"",$D100*$E100)</f>
      </c>
      <c r="G100" s="60" t="str">
        <f>IFERROR(VLOOKUP($A100,'MAESTRO PRECIOS'!$A$6:$R$631,12,FALSE),"")</f>
      </c>
      <c r="H100" s="59" t="str">
        <f>IF(OR($F100="",$G100=""),"",$F100*$G100)</f>
      </c>
      <c r="I100" s="51" t="str">
        <f>IF(OR($E100="",$G100=""),"",$E100*(1+$G100))</f>
      </c>
      <c r="J100" s="51" t="str">
        <f>IF(OR($D100="",$I100=""),"",$D100*$I100)</f>
      </c>
      <c r="K100" s="60" t="str">
        <f>IF($A100="","",0)</f>
      </c>
      <c r="L100" s="59" t="str">
        <f>IF(OR($J100="",$K100=""),"",$J100*$K100)</f>
      </c>
      <c r="M100" s="51" t="str">
        <f>IF($J100="","",$J100-$L100)</f>
      </c>
    </row>
    <row r="101">
      <c r="A101" s="58"/>
      <c r="B101" s="50" t="str">
        <f>IFERROR(VLOOKUP($A101,'MAESTRO PRECIOS'!$A$6:$R$631,4,FALSE),"")</f>
      </c>
      <c r="C101" s="48" t="str">
        <f>IFERROR(VLOOKUP($A101,'MAESTRO PRECIOS'!$A$6:$R$631,5,FALSE),"")</f>
      </c>
      <c r="D101" s="56"/>
      <c r="E101" s="61" t="str">
        <f>IFERROR(VLOOKUP($A101,'MAESTRO PRECIOS'!$A$6:$R$631,11,FALSE),"")</f>
      </c>
      <c r="F101" s="61" t="str">
        <f>IF(OR($D101="",$E101=""),"",$D101*$E101)</f>
      </c>
      <c r="G101" s="62" t="str">
        <f>IFERROR(VLOOKUP($A101,'MAESTRO PRECIOS'!$A$6:$R$631,12,FALSE),"")</f>
      </c>
      <c r="H101" s="61" t="str">
        <f>IF(OR($F101="",$G101=""),"",$F101*$G101)</f>
      </c>
      <c r="I101" s="52" t="str">
        <f>IF(OR($E101="",$G101=""),"",$E101*(1+$G101))</f>
      </c>
      <c r="J101" s="52" t="str">
        <f>IF(OR($D101="",$I101=""),"",$D101*$I101)</f>
      </c>
      <c r="K101" s="62" t="str">
        <f>IF($A101="","",0)</f>
      </c>
      <c r="L101" s="61" t="str">
        <f>IF(OR($J101="",$K101=""),"",$J101*$K101)</f>
      </c>
      <c r="M101" s="52" t="str">
        <f>IF($J101="","",$J101-$L101)</f>
      </c>
    </row>
    <row r="102">
      <c r="A102" s="58"/>
      <c r="B102" s="50" t="str">
        <f>IFERROR(VLOOKUP($A102,'MAESTRO PRECIOS'!$A$6:$R$631,4,FALSE),"")</f>
      </c>
      <c r="C102" s="48" t="str">
        <f>IFERROR(VLOOKUP($A102,'MAESTRO PRECIOS'!$A$6:$R$631,5,FALSE),"")</f>
      </c>
      <c r="D102" s="56"/>
      <c r="E102" s="61" t="str">
        <f>IFERROR(VLOOKUP($A102,'MAESTRO PRECIOS'!$A$6:$R$631,11,FALSE),"")</f>
      </c>
      <c r="F102" s="61" t="str">
        <f>IF(OR($D102="",$E102=""),"",$D102*$E102)</f>
      </c>
      <c r="G102" s="62" t="str">
        <f>IFERROR(VLOOKUP($A102,'MAESTRO PRECIOS'!$A$6:$R$631,12,FALSE),"")</f>
      </c>
      <c r="H102" s="61" t="str">
        <f>IF(OR($F102="",$G102=""),"",$F102*$G102)</f>
      </c>
      <c r="I102" s="52" t="str">
        <f>IF(OR($E102="",$G102=""),"",$E102*(1+$G102))</f>
      </c>
      <c r="J102" s="52" t="str">
        <f>IF(OR($D102="",$I102=""),"",$D102*$I102)</f>
      </c>
      <c r="K102" s="62" t="str">
        <f>IF($A102="","",0)</f>
      </c>
      <c r="L102" s="61" t="str">
        <f>IF(OR($J102="",$K102=""),"",$J102*$K102)</f>
      </c>
      <c r="M102" s="52" t="str">
        <f>IF($J102="","",$J102-$L102)</f>
      </c>
    </row>
    <row r="103">
      <c r="A103" s="58"/>
      <c r="B103" s="50" t="str">
        <f>IFERROR(VLOOKUP($A103,'MAESTRO PRECIOS'!$A$6:$R$631,4,FALSE),"")</f>
      </c>
      <c r="C103" s="48" t="str">
        <f>IFERROR(VLOOKUP($A103,'MAESTRO PRECIOS'!$A$6:$R$631,5,FALSE),"")</f>
      </c>
      <c r="D103" s="56"/>
      <c r="E103" s="61" t="str">
        <f>IFERROR(VLOOKUP($A103,'MAESTRO PRECIOS'!$A$6:$R$631,11,FALSE),"")</f>
      </c>
      <c r="F103" s="61" t="str">
        <f>IF(OR($D103="",$E103=""),"",$D103*$E103)</f>
      </c>
      <c r="G103" s="62" t="str">
        <f>IFERROR(VLOOKUP($A103,'MAESTRO PRECIOS'!$A$6:$R$631,12,FALSE),"")</f>
      </c>
      <c r="H103" s="61" t="str">
        <f>IF(OR($F103="",$G103=""),"",$F103*$G103)</f>
      </c>
      <c r="I103" s="52" t="str">
        <f>IF(OR($E103="",$G103=""),"",$E103*(1+$G103))</f>
      </c>
      <c r="J103" s="52" t="str">
        <f>IF(OR($D103="",$I103=""),"",$D103*$I103)</f>
      </c>
      <c r="K103" s="62" t="str">
        <f>IF($A103="","",0)</f>
      </c>
      <c r="L103" s="61" t="str">
        <f>IF(OR($J103="",$K103=""),"",$J103*$K103)</f>
      </c>
      <c r="M103" s="52" t="str">
        <f>IF($J103="","",$J103-$L103)</f>
      </c>
    </row>
    <row r="104">
      <c r="A104" s="58"/>
      <c r="B104" s="50" t="str">
        <f>IFERROR(VLOOKUP($A104,'MAESTRO PRECIOS'!$A$6:$R$631,4,FALSE),"")</f>
      </c>
      <c r="C104" s="48" t="str">
        <f>IFERROR(VLOOKUP($A104,'MAESTRO PRECIOS'!$A$6:$R$631,5,FALSE),"")</f>
      </c>
      <c r="D104" s="56"/>
      <c r="E104" s="61" t="str">
        <f>IFERROR(VLOOKUP($A104,'MAESTRO PRECIOS'!$A$6:$R$631,11,FALSE),"")</f>
      </c>
      <c r="F104" s="61" t="str">
        <f>IF(OR($D104="",$E104=""),"",$D104*$E104)</f>
      </c>
      <c r="G104" s="62" t="str">
        <f>IFERROR(VLOOKUP($A104,'MAESTRO PRECIOS'!$A$6:$R$631,12,FALSE),"")</f>
      </c>
      <c r="H104" s="61" t="str">
        <f>IF(OR($F104="",$G104=""),"",$F104*$G104)</f>
      </c>
      <c r="I104" s="52" t="str">
        <f>IF(OR($E104="",$G104=""),"",$E104*(1+$G104))</f>
      </c>
      <c r="J104" s="52" t="str">
        <f>IF(OR($D104="",$I104=""),"",$D104*$I104)</f>
      </c>
      <c r="K104" s="62" t="str">
        <f>IF($A104="","",0)</f>
      </c>
      <c r="L104" s="61" t="str">
        <f>IF(OR($J104="",$K104=""),"",$J104*$K104)</f>
      </c>
      <c r="M104" s="52" t="str">
        <f>IF($J104="","",$J104-$L104)</f>
      </c>
    </row>
    <row r="105">
      <c r="A105" s="58"/>
      <c r="B105" s="50" t="str">
        <f>IFERROR(VLOOKUP($A105,'MAESTRO PRECIOS'!$A$6:$R$631,4,FALSE),"")</f>
      </c>
      <c r="C105" s="48" t="str">
        <f>IFERROR(VLOOKUP($A105,'MAESTRO PRECIOS'!$A$6:$R$631,5,FALSE),"")</f>
      </c>
      <c r="D105" s="56"/>
      <c r="E105" s="61" t="str">
        <f>IFERROR(VLOOKUP($A105,'MAESTRO PRECIOS'!$A$6:$R$631,11,FALSE),"")</f>
      </c>
      <c r="F105" s="61" t="str">
        <f>IF(OR($D105="",$E105=""),"",$D105*$E105)</f>
      </c>
      <c r="G105" s="62" t="str">
        <f>IFERROR(VLOOKUP($A105,'MAESTRO PRECIOS'!$A$6:$R$631,12,FALSE),"")</f>
      </c>
      <c r="H105" s="61" t="str">
        <f>IF(OR($F105="",$G105=""),"",$F105*$G105)</f>
      </c>
      <c r="I105" s="52" t="str">
        <f>IF(OR($E105="",$G105=""),"",$E105*(1+$G105))</f>
      </c>
      <c r="J105" s="52" t="str">
        <f>IF(OR($D105="",$I105=""),"",$D105*$I105)</f>
      </c>
      <c r="K105" s="62" t="str">
        <f>IF($A105="","",0)</f>
      </c>
      <c r="L105" s="61" t="str">
        <f>IF(OR($J105="",$K105=""),"",$J105*$K105)</f>
      </c>
      <c r="M105" s="52" t="str">
        <f>IF($J105="","",$J105-$L105)</f>
      </c>
    </row>
    <row r="106">
      <c r="A106" s="58"/>
      <c r="B106" s="50" t="str">
        <f>IFERROR(VLOOKUP($A106,'MAESTRO PRECIOS'!$A$6:$R$631,4,FALSE),"")</f>
      </c>
      <c r="C106" s="48" t="str">
        <f>IFERROR(VLOOKUP($A106,'MAESTRO PRECIOS'!$A$6:$R$631,5,FALSE),"")</f>
      </c>
      <c r="D106" s="56"/>
      <c r="E106" s="61" t="str">
        <f>IFERROR(VLOOKUP($A106,'MAESTRO PRECIOS'!$A$6:$R$631,11,FALSE),"")</f>
      </c>
      <c r="F106" s="61" t="str">
        <f>IF(OR($D106="",$E106=""),"",$D106*$E106)</f>
      </c>
      <c r="G106" s="62" t="str">
        <f>IFERROR(VLOOKUP($A106,'MAESTRO PRECIOS'!$A$6:$R$631,12,FALSE),"")</f>
      </c>
      <c r="H106" s="61" t="str">
        <f>IF(OR($F106="",$G106=""),"",$F106*$G106)</f>
      </c>
      <c r="I106" s="52" t="str">
        <f>IF(OR($E106="",$G106=""),"",$E106*(1+$G106))</f>
      </c>
      <c r="J106" s="52" t="str">
        <f>IF(OR($D106="",$I106=""),"",$D106*$I106)</f>
      </c>
      <c r="K106" s="62" t="str">
        <f>IF($A106="","",0)</f>
      </c>
      <c r="L106" s="61" t="str">
        <f>IF(OR($J106="",$K106=""),"",$J106*$K106)</f>
      </c>
      <c r="M106" s="52" t="str">
        <f>IF($J106="","",$J106-$L106)</f>
      </c>
    </row>
    <row r="107">
      <c r="A107" s="58"/>
      <c r="B107" s="50" t="str">
        <f>IFERROR(VLOOKUP($A107,'MAESTRO PRECIOS'!$A$6:$R$631,4,FALSE),"")</f>
      </c>
      <c r="C107" s="48" t="str">
        <f>IFERROR(VLOOKUP($A107,'MAESTRO PRECIOS'!$A$6:$R$631,5,FALSE),"")</f>
      </c>
      <c r="D107" s="56"/>
      <c r="E107" s="61" t="str">
        <f>IFERROR(VLOOKUP($A107,'MAESTRO PRECIOS'!$A$6:$R$631,11,FALSE),"")</f>
      </c>
      <c r="F107" s="61" t="str">
        <f>IF(OR($D107="",$E107=""),"",$D107*$E107)</f>
      </c>
      <c r="G107" s="62" t="str">
        <f>IFERROR(VLOOKUP($A107,'MAESTRO PRECIOS'!$A$6:$R$631,12,FALSE),"")</f>
      </c>
      <c r="H107" s="61" t="str">
        <f>IF(OR($F107="",$G107=""),"",$F107*$G107)</f>
      </c>
      <c r="I107" s="52" t="str">
        <f>IF(OR($E107="",$G107=""),"",$E107*(1+$G107))</f>
      </c>
      <c r="J107" s="52" t="str">
        <f>IF(OR($D107="",$I107=""),"",$D107*$I107)</f>
      </c>
      <c r="K107" s="62" t="str">
        <f>IF($A107="","",0)</f>
      </c>
      <c r="L107" s="61" t="str">
        <f>IF(OR($J107="",$K107=""),"",$J107*$K107)</f>
      </c>
      <c r="M107" s="52" t="str">
        <f>IF($J107="","",$J107-$L107)</f>
      </c>
    </row>
    <row r="108">
      <c r="A108" s="58"/>
      <c r="B108" s="50" t="str">
        <f>IFERROR(VLOOKUP($A108,'MAESTRO PRECIOS'!$A$6:$R$631,4,FALSE),"")</f>
      </c>
      <c r="C108" s="48" t="str">
        <f>IFERROR(VLOOKUP($A108,'MAESTRO PRECIOS'!$A$6:$R$631,5,FALSE),"")</f>
      </c>
      <c r="D108" s="56"/>
      <c r="E108" s="61" t="str">
        <f>IFERROR(VLOOKUP($A108,'MAESTRO PRECIOS'!$A$6:$R$631,11,FALSE),"")</f>
      </c>
      <c r="F108" s="61" t="str">
        <f>IF(OR($D108="",$E108=""),"",$D108*$E108)</f>
      </c>
      <c r="G108" s="62" t="str">
        <f>IFERROR(VLOOKUP($A108,'MAESTRO PRECIOS'!$A$6:$R$631,12,FALSE),"")</f>
      </c>
      <c r="H108" s="61" t="str">
        <f>IF(OR($F108="",$G108=""),"",$F108*$G108)</f>
      </c>
      <c r="I108" s="52" t="str">
        <f>IF(OR($E108="",$G108=""),"",$E108*(1+$G108))</f>
      </c>
      <c r="J108" s="52" t="str">
        <f>IF(OR($D108="",$I108=""),"",$D108*$I108)</f>
      </c>
      <c r="K108" s="62" t="str">
        <f>IF($A108="","",0)</f>
      </c>
      <c r="L108" s="61" t="str">
        <f>IF(OR($J108="",$K108=""),"",$J108*$K108)</f>
      </c>
      <c r="M108" s="52" t="str">
        <f>IF($J108="","",$J108-$L108)</f>
      </c>
    </row>
    <row r="109">
      <c r="A109" s="58"/>
      <c r="B109" s="50" t="str">
        <f>IFERROR(VLOOKUP($A109,'MAESTRO PRECIOS'!$A$6:$R$631,4,FALSE),"")</f>
      </c>
      <c r="C109" s="48" t="str">
        <f>IFERROR(VLOOKUP($A109,'MAESTRO PRECIOS'!$A$6:$R$631,5,FALSE),"")</f>
      </c>
      <c r="D109" s="56"/>
      <c r="E109" s="61" t="str">
        <f>IFERROR(VLOOKUP($A109,'MAESTRO PRECIOS'!$A$6:$R$631,11,FALSE),"")</f>
      </c>
      <c r="F109" s="61" t="str">
        <f>IF(OR($D109="",$E109=""),"",$D109*$E109)</f>
      </c>
      <c r="G109" s="62" t="str">
        <f>IFERROR(VLOOKUP($A109,'MAESTRO PRECIOS'!$A$6:$R$631,12,FALSE),"")</f>
      </c>
      <c r="H109" s="61" t="str">
        <f>IF(OR($F109="",$G109=""),"",$F109*$G109)</f>
      </c>
      <c r="I109" s="52" t="str">
        <f>IF(OR($E109="",$G109=""),"",$E109*(1+$G109))</f>
      </c>
      <c r="J109" s="52" t="str">
        <f>IF(OR($D109="",$I109=""),"",$D109*$I109)</f>
      </c>
      <c r="K109" s="62" t="str">
        <f>IF($A109="","",0)</f>
      </c>
      <c r="L109" s="61" t="str">
        <f>IF(OR($J109="",$K109=""),"",$J109*$K109)</f>
      </c>
      <c r="M109" s="52" t="str">
        <f>IF($J109="","",$J109-$L109)</f>
      </c>
    </row>
    <row r="110">
      <c r="A110" s="58"/>
      <c r="B110" s="50" t="str">
        <f>IFERROR(VLOOKUP($A110,'MAESTRO PRECIOS'!$A$6:$R$631,4,FALSE),"")</f>
      </c>
      <c r="C110" s="48" t="str">
        <f>IFERROR(VLOOKUP($A110,'MAESTRO PRECIOS'!$A$6:$R$631,5,FALSE),"")</f>
      </c>
      <c r="D110" s="56"/>
      <c r="E110" s="61" t="str">
        <f>IFERROR(VLOOKUP($A110,'MAESTRO PRECIOS'!$A$6:$R$631,11,FALSE),"")</f>
      </c>
      <c r="F110" s="61" t="str">
        <f>IF(OR($D110="",$E110=""),"",$D110*$E110)</f>
      </c>
      <c r="G110" s="62" t="str">
        <f>IFERROR(VLOOKUP($A110,'MAESTRO PRECIOS'!$A$6:$R$631,12,FALSE),"")</f>
      </c>
      <c r="H110" s="61" t="str">
        <f>IF(OR($F110="",$G110=""),"",$F110*$G110)</f>
      </c>
      <c r="I110" s="52" t="str">
        <f>IF(OR($E110="",$G110=""),"",$E110*(1+$G110))</f>
      </c>
      <c r="J110" s="52" t="str">
        <f>IF(OR($D110="",$I110=""),"",$D110*$I110)</f>
      </c>
      <c r="K110" s="62" t="str">
        <f>IF($A110="","",0)</f>
      </c>
      <c r="L110" s="61" t="str">
        <f>IF(OR($J110="",$K110=""),"",$J110*$K110)</f>
      </c>
      <c r="M110" s="52" t="str">
        <f>IF($J110="","",$J110-$L110)</f>
      </c>
    </row>
    <row r="111">
      <c r="A111" s="58"/>
      <c r="B111" s="50" t="str">
        <f>IFERROR(VLOOKUP($A111,'MAESTRO PRECIOS'!$A$6:$R$631,4,FALSE),"")</f>
      </c>
      <c r="C111" s="48" t="str">
        <f>IFERROR(VLOOKUP($A111,'MAESTRO PRECIOS'!$A$6:$R$631,5,FALSE),"")</f>
      </c>
      <c r="D111" s="56"/>
      <c r="E111" s="61" t="str">
        <f>IFERROR(VLOOKUP($A111,'MAESTRO PRECIOS'!$A$6:$R$631,11,FALSE),"")</f>
      </c>
      <c r="F111" s="61" t="str">
        <f>IF(OR($D111="",$E111=""),"",$D111*$E111)</f>
      </c>
      <c r="G111" s="62" t="str">
        <f>IFERROR(VLOOKUP($A111,'MAESTRO PRECIOS'!$A$6:$R$631,12,FALSE),"")</f>
      </c>
      <c r="H111" s="61" t="str">
        <f>IF(OR($F111="",$G111=""),"",$F111*$G111)</f>
      </c>
      <c r="I111" s="52" t="str">
        <f>IF(OR($E111="",$G111=""),"",$E111*(1+$G111))</f>
      </c>
      <c r="J111" s="52" t="str">
        <f>IF(OR($D111="",$I111=""),"",$D111*$I111)</f>
      </c>
      <c r="K111" s="62" t="str">
        <f>IF($A111="","",0)</f>
      </c>
      <c r="L111" s="61" t="str">
        <f>IF(OR($J111="",$K111=""),"",$J111*$K111)</f>
      </c>
      <c r="M111" s="52" t="str">
        <f>IF($J111="","",$J111-$L111)</f>
      </c>
    </row>
    <row r="112">
      <c r="A112" s="64" t="str">
        <v>SUBTOTAL · VARIOS, TRANSPORTE Y MONTAJE</v>
      </c>
      <c r="B112" s="65"/>
      <c r="C112" s="65"/>
      <c r="D112" s="65"/>
      <c r="E112" s="65"/>
      <c r="F112" s="67" t="n">
        <f>SUM(F100:F111)</f>
        <v>0</v>
      </c>
      <c r="G112" s="67"/>
      <c r="H112" s="67" t="n">
        <f>SUM(H100:H111)</f>
        <v>0</v>
      </c>
      <c r="I112" s="67"/>
      <c r="J112" s="67" t="n">
        <f>SUM(J100:J111)</f>
        <v>0</v>
      </c>
      <c r="K112" s="67"/>
      <c r="L112" s="67" t="n">
        <f>SUM(L100:L111)</f>
        <v>0</v>
      </c>
      <c r="M112" s="68" t="n">
        <f>SUM(M100:M111)</f>
        <v>0</v>
      </c>
    </row>
    <row r="115">
      <c r="I115" s="71" t="str">
        <v>SUBTOTAL COSTO</v>
      </c>
      <c r="J115" s="72"/>
      <c r="K115" s="72"/>
      <c r="L115" s="72"/>
      <c r="M115" s="84" t="n">
        <f>SUM(F10:F21,F25:F36,F40:F51,F55:F66,F70:F81,F85:F96,F100:F111)</f>
        <v>0</v>
      </c>
    </row>
    <row r="116">
      <c r="I116" s="74" t="str">
        <v>SUBTOTAL UTILIDAD</v>
      </c>
      <c r="J116" s="70"/>
      <c r="K116" s="70"/>
      <c r="L116" s="70"/>
      <c r="M116" s="85" t="n">
        <f>SUM(H10:H21,H25:H36,H40:H51,H55:H66,H70:H81,H85:H96,H100:H111)</f>
        <v>0</v>
      </c>
    </row>
    <row r="117">
      <c r="I117" s="74" t="str">
        <v>SUBTOTAL PVP</v>
      </c>
      <c r="J117" s="70"/>
      <c r="K117" s="70"/>
      <c r="L117" s="70"/>
      <c r="M117" s="85" t="n">
        <f>SUM(J10:J21,J25:J36,J40:J51,J55:J66,J70:J81,J85:J96,J100:J111)</f>
        <v>0</v>
      </c>
    </row>
    <row r="118">
      <c r="I118" s="74" t="str">
        <v>DESCUENTOS</v>
      </c>
      <c r="J118" s="70"/>
      <c r="K118" s="70"/>
      <c r="L118" s="70"/>
      <c r="M118" s="85" t="n">
        <f>SUM(L10:L21,L25:L36,L40:L51,L55:L66,L70:L81,L85:L96,L100:L111)</f>
        <v>0</v>
      </c>
    </row>
    <row r="119">
      <c r="I119" s="74" t="str">
        <v>TOTAL SIN IVA</v>
      </c>
      <c r="J119" s="70"/>
      <c r="K119" s="70"/>
      <c r="L119" s="70"/>
      <c r="M119" s="85" t="n">
        <f>SUM(M10:M21,M25:M36,M40:M51,M55:M66,M70:M81,M85:M96,M100:M111)</f>
        <v>0</v>
      </c>
    </row>
    <row r="120">
      <c r="I120" s="76" t="str">
        <v>IVA</v>
      </c>
      <c r="J120" s="77"/>
      <c r="K120" s="77"/>
      <c r="L120" s="77"/>
      <c r="M120" s="86" t="n">
        <f>M119*$I$4</f>
        <v>0</v>
      </c>
    </row>
    <row r="121">
      <c r="I121" s="81" t="str">
        <v>TOTAL CON IVA</v>
      </c>
      <c r="J121" s="82"/>
      <c r="K121" s="82"/>
      <c r="L121" s="82"/>
      <c r="M121" s="87" t="n">
        <f>M119+M120</f>
        <v>0</v>
      </c>
    </row>
  </sheetData>
  <mergeCells>
    <mergeCell ref="A1:M1"/>
    <mergeCell ref="A2:B2"/>
    <mergeCell ref="C2:F2"/>
    <mergeCell ref="G2:H2"/>
    <mergeCell ref="I2:M2"/>
    <mergeCell ref="A3:B3"/>
    <mergeCell ref="C3:F3"/>
    <mergeCell ref="G3:H3"/>
    <mergeCell ref="I3:M3"/>
    <mergeCell ref="A4:B4"/>
    <mergeCell ref="C4:F4"/>
    <mergeCell ref="G4:H4"/>
    <mergeCell ref="I4:J4"/>
    <mergeCell ref="K4:M4"/>
    <mergeCell ref="A6:M6"/>
    <mergeCell ref="A9:M9"/>
    <mergeCell ref="A22:E22"/>
    <mergeCell ref="A24:M24"/>
    <mergeCell ref="A37:E37"/>
    <mergeCell ref="A39:M39"/>
    <mergeCell ref="A52:E52"/>
    <mergeCell ref="A54:M54"/>
    <mergeCell ref="A67:E67"/>
    <mergeCell ref="A69:M69"/>
    <mergeCell ref="A82:E82"/>
    <mergeCell ref="A84:M84"/>
    <mergeCell ref="A97:E97"/>
    <mergeCell ref="A99:M99"/>
    <mergeCell ref="A112:E112"/>
    <mergeCell ref="I115:L115"/>
    <mergeCell ref="I116:L116"/>
    <mergeCell ref="I117:L117"/>
    <mergeCell ref="I118:L118"/>
    <mergeCell ref="I119:L119"/>
    <mergeCell ref="I120:L120"/>
    <mergeCell ref="I121:L1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28" hidden="0" customWidth="1"/>
    <col min="3" max="3" width="16" hidden="0" customWidth="1"/>
    <col min="4" max="4" width="62" hidden="0" customWidth="1"/>
    <col min="5" max="5" width="9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34" hidden="0" customWidth="1"/>
    <col min="15" max="15" width="22" hidden="0" customWidth="1"/>
    <col min="16" max="16" width="42" hidden="0" customWidth="1"/>
    <col min="17" max="17" width="32" hidden="0" customWidth="1"/>
    <col min="18" max="18" width="55" hidden="0" customWidth="1"/>
  </cols>
  <sheetData>
    <row r="1" ht="32" customHeight="1">
      <c r="A1" s="90" t="str">
        <v>MAESTRO ÚNICO DE PRECIOS · 626 RUBROS NORMALIZADOS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>
      <c r="A2" s="34" t="str">
        <v>CAMICON: costo directo + 22% de indirectos. Base interna: costo registrado. La utilidad de 30% es provisional cuando la fuente no la definía.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>
      <c r="A3" s="91" t="str">
        <v>Filtre por CAPÍTULO GPT, busque por DESCRIPCIÓN o PALABRAS CLAVE y use el ID en la hoja PLANTILLA COTIZACIÓN.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</row>
    <row r="5">
      <c r="A5" s="94" t="str">
        <v>ID</v>
      </c>
      <c r="B5" s="94" t="str">
        <v>CAPÍTULO GPT</v>
      </c>
      <c r="C5" s="94" t="str">
        <v>CÓDIGO FUENTE</v>
      </c>
      <c r="D5" s="94" t="str">
        <v>DESCRIPCIÓN</v>
      </c>
      <c r="E5" s="94" t="str">
        <v>UNIDAD</v>
      </c>
      <c r="F5" s="94" t="str">
        <v>MATERIALES</v>
      </c>
      <c r="G5" s="94" t="str">
        <v>MANO DE OBRA</v>
      </c>
      <c r="H5" s="94" t="str">
        <v>EQUIPO</v>
      </c>
      <c r="I5" s="94" t="str">
        <v>COSTO DIRECTO</v>
      </c>
      <c r="J5" s="94" t="str">
        <v>INDIRECTOS %</v>
      </c>
      <c r="K5" s="94" t="str">
        <v>COSTO REFERENCIAL</v>
      </c>
      <c r="L5" s="94" t="str">
        <v>UTILIDAD SUGERIDA</v>
      </c>
      <c r="M5" s="94" t="str">
        <v>PVP SUGERIDO</v>
      </c>
      <c r="N5" s="94" t="str">
        <v>FUENTE</v>
      </c>
      <c r="O5" s="94" t="str">
        <v>PERIODO</v>
      </c>
      <c r="P5" s="94" t="str">
        <v>ESTADO / VIGENCIA</v>
      </c>
      <c r="Q5" s="94" t="str">
        <v>FAMILIA ORIGEN</v>
      </c>
      <c r="R5" s="94" t="str">
        <v>PALABRAS CLAVE</v>
      </c>
    </row>
    <row r="6">
      <c r="A6" t="str">
        <v>CAM-0001</v>
      </c>
      <c r="B6" t="str">
        <v>OBRA CIVIL</v>
      </c>
      <c r="C6" t="str">
        <v>1,0101</v>
      </c>
      <c r="D6" s="97" t="str">
        <v>* AUX: HORMIGÓN SIMPLE F'C=90 KG/CM2</v>
      </c>
      <c r="E6" t="str">
        <v>m³</v>
      </c>
      <c r="F6" s="95" t="n">
        <v>61.96</v>
      </c>
      <c r="G6" s="95" t="n">
        <v>0</v>
      </c>
      <c r="H6" s="95" t="n">
        <v>0</v>
      </c>
      <c r="I6" s="95" t="n">
        <v>61.96</v>
      </c>
      <c r="J6" s="96" t="n">
        <v>0.22</v>
      </c>
      <c r="K6" s="95" t="n">
        <f>I6*(1+J6)</f>
        <v>75.5912</v>
      </c>
      <c r="L6" s="96" t="n">
        <v>0.3</v>
      </c>
      <c r="M6" s="95" t="n">
        <f>K6*(1+L6)</f>
        <v>98.26856000000001</v>
      </c>
      <c r="N6" t="str">
        <v>CAMICON · Quito</v>
      </c>
      <c r="O6" t="str">
        <v>Octubre–diciembre 2025</v>
      </c>
      <c r="P6" s="97" t="str">
        <v>REFERENCIAL QUITO · utilidad 30% provisional</v>
      </c>
      <c r="Q6" t="str">
        <v>AUXILIARES</v>
      </c>
      <c r="R6" t="str">
        <v>* aux: hormigon simple f'c=90 kg/cm2</v>
      </c>
    </row>
    <row r="7">
      <c r="A7" t="str">
        <v>CAM-0002</v>
      </c>
      <c r="B7" t="str">
        <v>OBRA CIVIL</v>
      </c>
      <c r="C7" t="str">
        <v>1,0102</v>
      </c>
      <c r="D7" s="97" t="str">
        <v>* AUX: HORMIGÓN SIMPLE F'C=140 KG/CM2</v>
      </c>
      <c r="E7" t="str">
        <v>m³</v>
      </c>
      <c r="F7" s="95" t="n">
        <v>75.19</v>
      </c>
      <c r="G7" s="95" t="n">
        <v>0</v>
      </c>
      <c r="H7" s="95" t="n">
        <v>0</v>
      </c>
      <c r="I7" s="95" t="n">
        <v>75.19</v>
      </c>
      <c r="J7" s="96" t="n">
        <v>0.22</v>
      </c>
      <c r="K7" s="95" t="n">
        <f>I7*(1+J7)</f>
        <v>91.73179999999999</v>
      </c>
      <c r="L7" s="96" t="n">
        <v>0.3</v>
      </c>
      <c r="M7" s="95" t="n">
        <f>K7*(1+L7)</f>
        <v>119.25134</v>
      </c>
      <c r="N7" t="str">
        <v>CAMICON · Quito</v>
      </c>
      <c r="O7" t="str">
        <v>Octubre–diciembre 2025</v>
      </c>
      <c r="P7" s="97" t="str">
        <v>REFERENCIAL QUITO · utilidad 30% provisional</v>
      </c>
      <c r="Q7" t="str">
        <v>AUXILIARES</v>
      </c>
      <c r="R7" t="str">
        <v>* aux: hormigon simple f'c=140 kg/cm2</v>
      </c>
    </row>
    <row r="8">
      <c r="A8" t="str">
        <v>CAM-0003</v>
      </c>
      <c r="B8" t="str">
        <v>OBRA CIVIL</v>
      </c>
      <c r="C8" t="str">
        <v>1,0103</v>
      </c>
      <c r="D8" s="97" t="str">
        <v>* AUX: HORMIGÓN SIMPLE F'C=180 KG/CM2</v>
      </c>
      <c r="E8" t="str">
        <v>m³</v>
      </c>
      <c r="F8" s="95" t="n">
        <v>79.35</v>
      </c>
      <c r="G8" s="95" t="n">
        <v>0</v>
      </c>
      <c r="H8" s="95" t="n">
        <v>0</v>
      </c>
      <c r="I8" s="95" t="n">
        <v>79.35</v>
      </c>
      <c r="J8" s="96" t="n">
        <v>0.22</v>
      </c>
      <c r="K8" s="95" t="n">
        <f>I8*(1+J8)</f>
        <v>96.80699999999999</v>
      </c>
      <c r="L8" s="96" t="n">
        <v>0.3</v>
      </c>
      <c r="M8" s="95" t="n">
        <f>K8*(1+L8)</f>
        <v>125.84909999999999</v>
      </c>
      <c r="N8" t="str">
        <v>CAMICON · Quito</v>
      </c>
      <c r="O8" t="str">
        <v>Octubre–diciembre 2025</v>
      </c>
      <c r="P8" s="97" t="str">
        <v>REFERENCIAL QUITO · utilidad 30% provisional</v>
      </c>
      <c r="Q8" t="str">
        <v>AUXILIARES</v>
      </c>
      <c r="R8" t="str">
        <v>* aux: hormigon simple f'c=180 kg/cm2</v>
      </c>
    </row>
    <row r="9">
      <c r="A9" t="str">
        <v>CAM-0004</v>
      </c>
      <c r="B9" t="str">
        <v>OBRA CIVIL</v>
      </c>
      <c r="C9" t="str">
        <v>1,0104</v>
      </c>
      <c r="D9" s="97" t="str">
        <v>* AUX: HORMIGÓN SIMPLE F'C=210 KG/CM2</v>
      </c>
      <c r="E9" t="str">
        <v>m³</v>
      </c>
      <c r="F9" s="95" t="n">
        <v>83.64</v>
      </c>
      <c r="G9" s="95" t="n">
        <v>0</v>
      </c>
      <c r="H9" s="95" t="n">
        <v>0</v>
      </c>
      <c r="I9" s="95" t="n">
        <v>83.64</v>
      </c>
      <c r="J9" s="96" t="n">
        <v>0.22</v>
      </c>
      <c r="K9" s="95" t="n">
        <f>I9*(1+J9)</f>
        <v>102.0408</v>
      </c>
      <c r="L9" s="96" t="n">
        <v>0.3</v>
      </c>
      <c r="M9" s="95" t="n">
        <f>K9*(1+L9)</f>
        <v>132.65304</v>
      </c>
      <c r="N9" t="str">
        <v>CAMICON · Quito</v>
      </c>
      <c r="O9" t="str">
        <v>Octubre–diciembre 2025</v>
      </c>
      <c r="P9" s="97" t="str">
        <v>REFERENCIAL QUITO · utilidad 30% provisional</v>
      </c>
      <c r="Q9" t="str">
        <v>AUXILIARES</v>
      </c>
      <c r="R9" t="str">
        <v>* aux: hormigon simple f'c=210 kg/cm2</v>
      </c>
    </row>
    <row r="10">
      <c r="A10" t="str">
        <v>CAM-0005</v>
      </c>
      <c r="B10" t="str">
        <v>OBRA CIVIL</v>
      </c>
      <c r="C10" t="str">
        <v>1,0105</v>
      </c>
      <c r="D10" s="97" t="str">
        <v>* AUX: HORMIGÓN SIMPLE F'C=240 KG/CM2</v>
      </c>
      <c r="E10" t="str">
        <v>m³</v>
      </c>
      <c r="F10" s="95" t="n">
        <v>88.43</v>
      </c>
      <c r="G10" s="95" t="n">
        <v>0</v>
      </c>
      <c r="H10" s="95" t="n">
        <v>0</v>
      </c>
      <c r="I10" s="95" t="n">
        <v>88.43</v>
      </c>
      <c r="J10" s="96" t="n">
        <v>0.22</v>
      </c>
      <c r="K10" s="95" t="n">
        <f>I10*(1+J10)</f>
        <v>107.8846</v>
      </c>
      <c r="L10" s="96" t="n">
        <v>0.3</v>
      </c>
      <c r="M10" s="95" t="n">
        <f>K10*(1+L10)</f>
        <v>140.24998000000002</v>
      </c>
      <c r="N10" t="str">
        <v>CAMICON · Quito</v>
      </c>
      <c r="O10" t="str">
        <v>Octubre–diciembre 2025</v>
      </c>
      <c r="P10" s="97" t="str">
        <v>REFERENCIAL QUITO · utilidad 30% provisional</v>
      </c>
      <c r="Q10" t="str">
        <v>AUXILIARES</v>
      </c>
      <c r="R10" t="str">
        <v>* aux: hormigon simple f'c=240 kg/cm2</v>
      </c>
    </row>
    <row r="11">
      <c r="A11" t="str">
        <v>CAM-0006</v>
      </c>
      <c r="B11" t="str">
        <v>OBRA CIVIL</v>
      </c>
      <c r="C11" t="str">
        <v>1,0106</v>
      </c>
      <c r="D11" s="97" t="str">
        <v>* AUX: HORMIGÓN SIMPLE F'C=280 KG/CM2</v>
      </c>
      <c r="E11" t="str">
        <v>m³</v>
      </c>
      <c r="F11" s="95" t="n">
        <v>91.28</v>
      </c>
      <c r="G11" s="95" t="n">
        <v>0</v>
      </c>
      <c r="H11" s="95" t="n">
        <v>0</v>
      </c>
      <c r="I11" s="95" t="n">
        <v>91.28</v>
      </c>
      <c r="J11" s="96" t="n">
        <v>0.22</v>
      </c>
      <c r="K11" s="95" t="n">
        <f>I11*(1+J11)</f>
        <v>111.3616</v>
      </c>
      <c r="L11" s="96" t="n">
        <v>0.3</v>
      </c>
      <c r="M11" s="95" t="n">
        <f>K11*(1+L11)</f>
        <v>144.77008</v>
      </c>
      <c r="N11" t="str">
        <v>CAMICON · Quito</v>
      </c>
      <c r="O11" t="str">
        <v>Octubre–diciembre 2025</v>
      </c>
      <c r="P11" s="97" t="str">
        <v>REFERENCIAL QUITO · utilidad 30% provisional</v>
      </c>
      <c r="Q11" t="str">
        <v>AUXILIARES</v>
      </c>
      <c r="R11" t="str">
        <v>* aux: hormigon simple f'c=280 kg/cm2</v>
      </c>
    </row>
    <row r="12">
      <c r="A12" t="str">
        <v>CAM-0007</v>
      </c>
      <c r="B12" t="str">
        <v>OBRA CIVIL</v>
      </c>
      <c r="C12" t="str">
        <v>1,0201</v>
      </c>
      <c r="D12" s="97" t="str">
        <v>* AUX: MORTERO CEMENTO:ARENA 1:3</v>
      </c>
      <c r="E12" t="str">
        <v>m³</v>
      </c>
      <c r="F12" s="95" t="n">
        <v>101.06</v>
      </c>
      <c r="G12" s="95" t="n">
        <v>0</v>
      </c>
      <c r="H12" s="95" t="n">
        <v>0</v>
      </c>
      <c r="I12" s="95" t="n">
        <v>101.06</v>
      </c>
      <c r="J12" s="96" t="n">
        <v>0.22</v>
      </c>
      <c r="K12" s="95" t="n">
        <f>I12*(1+J12)</f>
        <v>123.2932</v>
      </c>
      <c r="L12" s="96" t="n">
        <v>0.3</v>
      </c>
      <c r="M12" s="95" t="n">
        <f>K12*(1+L12)</f>
        <v>160.28116</v>
      </c>
      <c r="N12" t="str">
        <v>CAMICON · Quito</v>
      </c>
      <c r="O12" t="str">
        <v>Octubre–diciembre 2025</v>
      </c>
      <c r="P12" s="97" t="str">
        <v>REFERENCIAL QUITO · utilidad 30% provisional</v>
      </c>
      <c r="Q12" t="str">
        <v>AUXILIARES</v>
      </c>
      <c r="R12" t="str">
        <v>* aux: mortero cemento:arena 1:3</v>
      </c>
    </row>
    <row r="13">
      <c r="A13" t="str">
        <v>CAM-0008</v>
      </c>
      <c r="B13" t="str">
        <v>OBRA CIVIL</v>
      </c>
      <c r="C13" t="str">
        <v>1,0202</v>
      </c>
      <c r="D13" s="97" t="str">
        <v>* AUX: MORTERO CEMENTO:ARENA 1:4</v>
      </c>
      <c r="E13" t="str">
        <v>m³</v>
      </c>
      <c r="F13" s="95" t="n">
        <v>91.44</v>
      </c>
      <c r="G13" s="95" t="n">
        <v>0</v>
      </c>
      <c r="H13" s="95" t="n">
        <v>0</v>
      </c>
      <c r="I13" s="95" t="n">
        <v>91.44</v>
      </c>
      <c r="J13" s="96" t="n">
        <v>0.22</v>
      </c>
      <c r="K13" s="95" t="n">
        <f>I13*(1+J13)</f>
        <v>111.5568</v>
      </c>
      <c r="L13" s="96" t="n">
        <v>0.3</v>
      </c>
      <c r="M13" s="95" t="n">
        <f>K13*(1+L13)</f>
        <v>145.02384</v>
      </c>
      <c r="N13" t="str">
        <v>CAMICON · Quito</v>
      </c>
      <c r="O13" t="str">
        <v>Octubre–diciembre 2025</v>
      </c>
      <c r="P13" s="97" t="str">
        <v>REFERENCIAL QUITO · utilidad 30% provisional</v>
      </c>
      <c r="Q13" t="str">
        <v>AUXILIARES</v>
      </c>
      <c r="R13" t="str">
        <v>* aux: mortero cemento:arena 1:4</v>
      </c>
    </row>
    <row r="14">
      <c r="A14" t="str">
        <v>CAM-0009</v>
      </c>
      <c r="B14" t="str">
        <v>OBRA CIVIL</v>
      </c>
      <c r="C14" t="str">
        <v>1,0203</v>
      </c>
      <c r="D14" s="97" t="str">
        <v>* AUX: MORTERO CEMENTO:ARENA 1:5</v>
      </c>
      <c r="E14" t="str">
        <v>m³</v>
      </c>
      <c r="F14" s="95" t="n">
        <v>80.3</v>
      </c>
      <c r="G14" s="95" t="n">
        <v>0</v>
      </c>
      <c r="H14" s="95" t="n">
        <v>0</v>
      </c>
      <c r="I14" s="95" t="n">
        <v>80.3</v>
      </c>
      <c r="J14" s="96" t="n">
        <v>0.22</v>
      </c>
      <c r="K14" s="95" t="n">
        <f>I14*(1+J14)</f>
        <v>97.966</v>
      </c>
      <c r="L14" s="96" t="n">
        <v>0.3</v>
      </c>
      <c r="M14" s="95" t="n">
        <f>K14*(1+L14)</f>
        <v>127.3558</v>
      </c>
      <c r="N14" t="str">
        <v>CAMICON · Quito</v>
      </c>
      <c r="O14" t="str">
        <v>Octubre–diciembre 2025</v>
      </c>
      <c r="P14" s="97" t="str">
        <v>REFERENCIAL QUITO · utilidad 30% provisional</v>
      </c>
      <c r="Q14" t="str">
        <v>AUXILIARES</v>
      </c>
      <c r="R14" t="str">
        <v>* aux: mortero cemento:arena 1:5</v>
      </c>
    </row>
    <row r="15">
      <c r="A15" t="str">
        <v>CAM-0010</v>
      </c>
      <c r="B15" t="str">
        <v>OBRA CIVIL</v>
      </c>
      <c r="C15" t="str">
        <v>1,0204</v>
      </c>
      <c r="D15" s="97" t="str">
        <v>* AUX: MORTERO CEMENTO:ARENA 1:6</v>
      </c>
      <c r="E15" t="str">
        <v>m³</v>
      </c>
      <c r="F15" s="95" t="n">
        <v>70.86</v>
      </c>
      <c r="G15" s="95" t="n">
        <v>0</v>
      </c>
      <c r="H15" s="95" t="n">
        <v>0</v>
      </c>
      <c r="I15" s="95" t="n">
        <v>70.86</v>
      </c>
      <c r="J15" s="96" t="n">
        <v>0.22</v>
      </c>
      <c r="K15" s="95" t="n">
        <f>I15*(1+J15)</f>
        <v>86.44919999999999</v>
      </c>
      <c r="L15" s="96" t="n">
        <v>0.3</v>
      </c>
      <c r="M15" s="95" t="n">
        <f>K15*(1+L15)</f>
        <v>112.38395999999999</v>
      </c>
      <c r="N15" t="str">
        <v>CAMICON · Quito</v>
      </c>
      <c r="O15" t="str">
        <v>Octubre–diciembre 2025</v>
      </c>
      <c r="P15" s="97" t="str">
        <v>REFERENCIAL QUITO · utilidad 30% provisional</v>
      </c>
      <c r="Q15" t="str">
        <v>AUXILIARES</v>
      </c>
      <c r="R15" t="str">
        <v>* aux: mortero cemento:arena 1:6</v>
      </c>
    </row>
    <row r="16">
      <c r="A16" t="str">
        <v>CAM-0011</v>
      </c>
      <c r="B16" t="str">
        <v>OBRA CIVIL</v>
      </c>
      <c r="C16" t="str">
        <v>1,0205</v>
      </c>
      <c r="D16" s="97" t="str">
        <v>* AUX: MORTERO CEMENTO:ARENA 1:7</v>
      </c>
      <c r="E16" t="str">
        <v>m³</v>
      </c>
      <c r="F16" s="95" t="n">
        <v>63.3</v>
      </c>
      <c r="G16" s="95" t="n">
        <v>0</v>
      </c>
      <c r="H16" s="95" t="n">
        <v>0</v>
      </c>
      <c r="I16" s="95" t="n">
        <v>63.3</v>
      </c>
      <c r="J16" s="96" t="n">
        <v>0.22</v>
      </c>
      <c r="K16" s="95" t="n">
        <f>I16*(1+J16)</f>
        <v>77.226</v>
      </c>
      <c r="L16" s="96" t="n">
        <v>0.3</v>
      </c>
      <c r="M16" s="95" t="n">
        <f>K16*(1+L16)</f>
        <v>100.3938</v>
      </c>
      <c r="N16" t="str">
        <v>CAMICON · Quito</v>
      </c>
      <c r="O16" t="str">
        <v>Octubre–diciembre 2025</v>
      </c>
      <c r="P16" s="97" t="str">
        <v>REFERENCIAL QUITO · utilidad 30% provisional</v>
      </c>
      <c r="Q16" t="str">
        <v>AUXILIARES</v>
      </c>
      <c r="R16" t="str">
        <v>* aux: mortero cemento:arena 1:7</v>
      </c>
    </row>
    <row r="17">
      <c r="A17" t="str">
        <v>CAM-0012</v>
      </c>
      <c r="B17" t="str">
        <v>OBRA CIVIL</v>
      </c>
      <c r="C17" t="str">
        <v>1,0206</v>
      </c>
      <c r="D17" s="97" t="str">
        <v>* AUX: MORTERO CEMENTO:ARENA 1:8</v>
      </c>
      <c r="E17" t="str">
        <v>m³</v>
      </c>
      <c r="F17" s="95" t="n">
        <v>55.95</v>
      </c>
      <c r="G17" s="95" t="n">
        <v>0</v>
      </c>
      <c r="H17" s="95" t="n">
        <v>0</v>
      </c>
      <c r="I17" s="95" t="n">
        <v>55.95</v>
      </c>
      <c r="J17" s="96" t="n">
        <v>0.22</v>
      </c>
      <c r="K17" s="95" t="n">
        <f>I17*(1+J17)</f>
        <v>68.259</v>
      </c>
      <c r="L17" s="96" t="n">
        <v>0.3</v>
      </c>
      <c r="M17" s="95" t="n">
        <f>K17*(1+L17)</f>
        <v>88.7367</v>
      </c>
      <c r="N17" t="str">
        <v>CAMICON · Quito</v>
      </c>
      <c r="O17" t="str">
        <v>Octubre–diciembre 2025</v>
      </c>
      <c r="P17" s="97" t="str">
        <v>REFERENCIAL QUITO · utilidad 30% provisional</v>
      </c>
      <c r="Q17" t="str">
        <v>AUXILIARES</v>
      </c>
      <c r="R17" t="str">
        <v>* aux: mortero cemento:arena 1:8</v>
      </c>
    </row>
    <row r="18">
      <c r="A18" t="str">
        <v>CAM-0013</v>
      </c>
      <c r="B18" t="str">
        <v>ILUMINACIÓN</v>
      </c>
      <c r="C18" t="str">
        <v>2,0201</v>
      </c>
      <c r="D18" s="97" t="str">
        <v>BODEGAS Y OFICINAS PROVIS.: ESTRUCTURA Y PAREDES DE MADERA, CUBIERTA GALVALUME INC. PUNTO DE ILUMINACIÓN</v>
      </c>
      <c r="E18" t="str">
        <v>m²</v>
      </c>
      <c r="F18" s="95" t="n">
        <v>46.85</v>
      </c>
      <c r="G18" s="95" t="n">
        <v>11.89</v>
      </c>
      <c r="H18" s="95" t="n">
        <v>0.59</v>
      </c>
      <c r="I18" s="95" t="n">
        <v>59.33</v>
      </c>
      <c r="J18" s="96" t="n">
        <v>0.22</v>
      </c>
      <c r="K18" s="95" t="n">
        <f>I18*(1+J18)</f>
        <v>72.3826</v>
      </c>
      <c r="L18" s="96" t="n">
        <v>0.3</v>
      </c>
      <c r="M18" s="95" t="n">
        <f>K18*(1+L18)</f>
        <v>94.09738</v>
      </c>
      <c r="N18" t="str">
        <v>CAMICON · Quito</v>
      </c>
      <c r="O18" t="str">
        <v>Octubre–diciembre 2025</v>
      </c>
      <c r="P18" s="97" t="str">
        <v>REFERENCIAL QUITO · utilidad 30% provisional</v>
      </c>
      <c r="Q18" t="str">
        <v>OBRAS PRELIMINARES</v>
      </c>
      <c r="R18" t="str">
        <v>bodegas y oficinas provis.: estructura y paredes de madera, cubierta galvalume inc. punto de iluminacion</v>
      </c>
    </row>
    <row r="19">
      <c r="A19" t="str">
        <v>CAM-0014</v>
      </c>
      <c r="B19" t="str">
        <v>OBRA CIVIL</v>
      </c>
      <c r="C19" t="str">
        <v>2,0202</v>
      </c>
      <c r="D19" s="97" t="str">
        <v>BODEGAS Y OFICINAS PROVIS. ECONÓMICAS: ESTRUCTURA DE MADERA, TECHO Y PAREDES CON PANEL ONDULADO ZINC</v>
      </c>
      <c r="E19" t="str">
        <v>m²</v>
      </c>
      <c r="F19" s="95" t="n">
        <v>21.94</v>
      </c>
      <c r="G19" s="95" t="n">
        <v>11.23</v>
      </c>
      <c r="H19" s="95" t="n">
        <v>0.56</v>
      </c>
      <c r="I19" s="95" t="n">
        <v>33.73</v>
      </c>
      <c r="J19" s="96" t="n">
        <v>0.22</v>
      </c>
      <c r="K19" s="95" t="n">
        <f>I19*(1+J19)</f>
        <v>41.1506</v>
      </c>
      <c r="L19" s="96" t="n">
        <v>0.3</v>
      </c>
      <c r="M19" s="95" t="n">
        <f>K19*(1+L19)</f>
        <v>53.495779999999996</v>
      </c>
      <c r="N19" t="str">
        <v>CAMICON · Quito</v>
      </c>
      <c r="O19" t="str">
        <v>Octubre–diciembre 2025</v>
      </c>
      <c r="P19" s="97" t="str">
        <v>REFERENCIAL QUITO · utilidad 30% provisional</v>
      </c>
      <c r="Q19" t="str">
        <v>OBRAS PRELIMINARES</v>
      </c>
      <c r="R19" t="str">
        <v>bodegas y oficinas provis. economicas: estructura de madera, techo y paredes con panel ondulado zinc</v>
      </c>
    </row>
    <row r="20">
      <c r="A20" t="str">
        <v>CAM-0015</v>
      </c>
      <c r="B20" t="str">
        <v>OBRA CIVIL</v>
      </c>
      <c r="C20" t="str">
        <v>2,0203</v>
      </c>
      <c r="D20" s="97" t="str">
        <v>CERRAMIENTO PROVIS. H=2.4 M CON GALVALUME METÁLICO E= 0.40MM</v>
      </c>
      <c r="E20" t="str">
        <v>mtl</v>
      </c>
      <c r="F20" s="95" t="n">
        <v>24.78</v>
      </c>
      <c r="G20" s="95" t="n">
        <v>7.94</v>
      </c>
      <c r="H20" s="95" t="n">
        <v>0.4</v>
      </c>
      <c r="I20" s="95" t="n">
        <v>33.12</v>
      </c>
      <c r="J20" s="96" t="n">
        <v>0.22</v>
      </c>
      <c r="K20" s="95" t="n">
        <f>I20*(1+J20)</f>
        <v>40.4064</v>
      </c>
      <c r="L20" s="96" t="n">
        <v>0.3</v>
      </c>
      <c r="M20" s="95" t="n">
        <f>K20*(1+L20)</f>
        <v>52.52832</v>
      </c>
      <c r="N20" t="str">
        <v>CAMICON · Quito</v>
      </c>
      <c r="O20" t="str">
        <v>Octubre–diciembre 2025</v>
      </c>
      <c r="P20" s="97" t="str">
        <v>REFERENCIAL QUITO · utilidad 30% provisional</v>
      </c>
      <c r="Q20" t="str">
        <v>OBRAS PRELIMINARES</v>
      </c>
      <c r="R20" t="str">
        <v>cerramiento provis. h=2.4 m con galvalume metalico e= 0.40mm</v>
      </c>
    </row>
    <row r="21">
      <c r="A21" t="str">
        <v>CAM-0016</v>
      </c>
      <c r="B21" t="str">
        <v>OBRA CIVIL</v>
      </c>
      <c r="C21" t="str">
        <v>2,0204</v>
      </c>
      <c r="D21" s="97" t="str">
        <v>CERRAMIENTO PROVIS. H=2.4 M CON LONA VERDE Y PINGOS</v>
      </c>
      <c r="E21" t="str">
        <v>mtl</v>
      </c>
      <c r="F21" s="95" t="n">
        <v>4.41</v>
      </c>
      <c r="G21" s="95" t="n">
        <v>3.62</v>
      </c>
      <c r="H21" s="95" t="n">
        <v>0.18</v>
      </c>
      <c r="I21" s="95" t="n">
        <v>8.21</v>
      </c>
      <c r="J21" s="96" t="n">
        <v>0.22</v>
      </c>
      <c r="K21" s="95" t="n">
        <f>I21*(1+J21)</f>
        <v>10.016200000000001</v>
      </c>
      <c r="L21" s="96" t="n">
        <v>0.3</v>
      </c>
      <c r="M21" s="95" t="n">
        <f>K21*(1+L21)</f>
        <v>13.021060000000002</v>
      </c>
      <c r="N21" t="str">
        <v>CAMICON · Quito</v>
      </c>
      <c r="O21" t="str">
        <v>Octubre–diciembre 2025</v>
      </c>
      <c r="P21" s="97" t="str">
        <v>REFERENCIAL QUITO · utilidad 30% provisional</v>
      </c>
      <c r="Q21" t="str">
        <v>OBRAS PRELIMINARES</v>
      </c>
      <c r="R21" t="str">
        <v>cerramiento provis. h=2.4 m con lona verde y pingos</v>
      </c>
    </row>
    <row r="22">
      <c r="A22" t="str">
        <v>CAM-0017</v>
      </c>
      <c r="B22" t="str">
        <v>OBRA CIVIL</v>
      </c>
      <c r="C22" t="str">
        <v>2,0205</v>
      </c>
      <c r="D22" s="97" t="str">
        <v>CERRAMIENTO PROVIS. H=2.4 M CON TABLA DE MONTE Y PINGOS</v>
      </c>
      <c r="E22" t="str">
        <v>mtl</v>
      </c>
      <c r="F22" s="95" t="n">
        <v>18.02</v>
      </c>
      <c r="G22" s="95" t="n">
        <v>9.05</v>
      </c>
      <c r="H22" s="95" t="n">
        <v>0.45</v>
      </c>
      <c r="I22" s="95" t="n">
        <v>27.52</v>
      </c>
      <c r="J22" s="96" t="n">
        <v>0.22</v>
      </c>
      <c r="K22" s="95" t="n">
        <f>I22*(1+J22)</f>
        <v>33.5744</v>
      </c>
      <c r="L22" s="96" t="n">
        <v>0.3</v>
      </c>
      <c r="M22" s="95" t="n">
        <f>K22*(1+L22)</f>
        <v>43.646719999999995</v>
      </c>
      <c r="N22" t="str">
        <v>CAMICON · Quito</v>
      </c>
      <c r="O22" t="str">
        <v>Octubre–diciembre 2025</v>
      </c>
      <c r="P22" s="97" t="str">
        <v>REFERENCIAL QUITO · utilidad 30% provisional</v>
      </c>
      <c r="Q22" t="str">
        <v>OBRAS PRELIMINARES</v>
      </c>
      <c r="R22" t="str">
        <v>cerramiento provis. h=2.4 m con tabla de monte y pingos</v>
      </c>
    </row>
    <row r="23">
      <c r="A23" t="str">
        <v>CAM-0018</v>
      </c>
      <c r="B23" t="str">
        <v>OBRA CIVIL</v>
      </c>
      <c r="C23" t="str">
        <v>2,0206</v>
      </c>
      <c r="D23" s="97" t="str">
        <v>LETRERO DE TOL DE INICIO DE OBRA INC. INSTALACIÓN</v>
      </c>
      <c r="E23" t="str">
        <v>u</v>
      </c>
      <c r="F23" s="95" t="n">
        <v>50.5</v>
      </c>
      <c r="G23" s="95" t="n">
        <v>5.88</v>
      </c>
      <c r="H23" s="95" t="n">
        <v>0.29</v>
      </c>
      <c r="I23" s="95" t="n">
        <v>56.67</v>
      </c>
      <c r="J23" s="96" t="n">
        <v>0.22</v>
      </c>
      <c r="K23" s="95" t="n">
        <f>I23*(1+J23)</f>
        <v>69.1374</v>
      </c>
      <c r="L23" s="96" t="n">
        <v>0.3</v>
      </c>
      <c r="M23" s="95" t="n">
        <f>K23*(1+L23)</f>
        <v>89.87862</v>
      </c>
      <c r="N23" t="str">
        <v>CAMICON · Quito</v>
      </c>
      <c r="O23" t="str">
        <v>Octubre–diciembre 2025</v>
      </c>
      <c r="P23" s="97" t="str">
        <v>REFERENCIAL QUITO · utilidad 30% provisional</v>
      </c>
      <c r="Q23" t="str">
        <v>OBRAS PRELIMINARES</v>
      </c>
      <c r="R23" t="str">
        <v>letrero de tol de inicio de obra inc. instalacion</v>
      </c>
    </row>
    <row r="24">
      <c r="A24" t="str">
        <v>CAM-0019</v>
      </c>
      <c r="B24" t="str">
        <v>OBRA CIVIL</v>
      </c>
      <c r="C24" t="str">
        <v>2,0207</v>
      </c>
      <c r="D24" s="97" t="str">
        <v>LIMPIEZA MANUAL DEL TERRENO</v>
      </c>
      <c r="E24" t="str">
        <v>m²</v>
      </c>
      <c r="F24" s="95" t="n">
        <v>0</v>
      </c>
      <c r="G24" s="95" t="n">
        <v>1.5</v>
      </c>
      <c r="H24" s="95" t="n">
        <v>0.08</v>
      </c>
      <c r="I24" s="95" t="n">
        <v>1.58</v>
      </c>
      <c r="J24" s="96" t="n">
        <v>0.22</v>
      </c>
      <c r="K24" s="95" t="n">
        <f>I24*(1+J24)</f>
        <v>1.9276</v>
      </c>
      <c r="L24" s="96" t="n">
        <v>0.3</v>
      </c>
      <c r="M24" s="95" t="n">
        <f>K24*(1+L24)</f>
        <v>2.50588</v>
      </c>
      <c r="N24" t="str">
        <v>CAMICON · Quito</v>
      </c>
      <c r="O24" t="str">
        <v>Octubre–diciembre 2025</v>
      </c>
      <c r="P24" s="97" t="str">
        <v>REFERENCIAL QUITO · utilidad 30% provisional</v>
      </c>
      <c r="Q24" t="str">
        <v>OBRAS PRELIMINARES</v>
      </c>
      <c r="R24" t="str">
        <v>limpieza manual del terreno</v>
      </c>
    </row>
    <row r="25">
      <c r="A25" t="str">
        <v>CAM-0020</v>
      </c>
      <c r="B25" t="str">
        <v>OBRA CIVIL</v>
      </c>
      <c r="C25" t="str">
        <v>2,0208</v>
      </c>
      <c r="D25" s="97" t="str">
        <v>REPLANTEO Y NIVELACIÓN CON EQUIPO TOPOGRÁFICO</v>
      </c>
      <c r="E25" t="str">
        <v>mtl</v>
      </c>
      <c r="F25" s="95" t="n">
        <v>0.4</v>
      </c>
      <c r="G25" s="95" t="n">
        <v>0.47</v>
      </c>
      <c r="H25" s="95" t="n">
        <v>0.15</v>
      </c>
      <c r="I25" s="95" t="n">
        <v>1.02</v>
      </c>
      <c r="J25" s="96" t="n">
        <v>0.22</v>
      </c>
      <c r="K25" s="95" t="n">
        <f>I25*(1+J25)</f>
        <v>1.2444</v>
      </c>
      <c r="L25" s="96" t="n">
        <v>0.3</v>
      </c>
      <c r="M25" s="95" t="n">
        <f>K25*(1+L25)</f>
        <v>1.61772</v>
      </c>
      <c r="N25" t="str">
        <v>CAMICON · Quito</v>
      </c>
      <c r="O25" t="str">
        <v>Octubre–diciembre 2025</v>
      </c>
      <c r="P25" s="97" t="str">
        <v>REFERENCIAL QUITO · utilidad 30% provisional</v>
      </c>
      <c r="Q25" t="str">
        <v>OBRAS PRELIMINARES</v>
      </c>
      <c r="R25" t="str">
        <v>replanteo y nivelacion con equipo topografico</v>
      </c>
    </row>
    <row r="26">
      <c r="A26" t="str">
        <v>CAM-0021</v>
      </c>
      <c r="B26" t="str">
        <v>OBRA CIVIL</v>
      </c>
      <c r="C26" t="str">
        <v>2,0209</v>
      </c>
      <c r="D26" s="97" t="str">
        <v>REPLANTEO Y NIVELACIÓN CON EQUIPO TOPOGRÁFICO</v>
      </c>
      <c r="E26" t="str">
        <v>m²</v>
      </c>
      <c r="F26" s="95" t="n">
        <v>0.4</v>
      </c>
      <c r="G26" s="95" t="n">
        <v>1.46</v>
      </c>
      <c r="H26" s="95" t="n">
        <v>0.48</v>
      </c>
      <c r="I26" s="95" t="n">
        <v>2.34</v>
      </c>
      <c r="J26" s="96" t="n">
        <v>0.22</v>
      </c>
      <c r="K26" s="95" t="n">
        <f>I26*(1+J26)</f>
        <v>2.8547999999999996</v>
      </c>
      <c r="L26" s="96" t="n">
        <v>0.3</v>
      </c>
      <c r="M26" s="95" t="n">
        <f>K26*(1+L26)</f>
        <v>3.7112399999999997</v>
      </c>
      <c r="N26" t="str">
        <v>CAMICON · Quito</v>
      </c>
      <c r="O26" t="str">
        <v>Octubre–diciembre 2025</v>
      </c>
      <c r="P26" s="97" t="str">
        <v>REFERENCIAL QUITO · utilidad 30% provisional</v>
      </c>
      <c r="Q26" t="str">
        <v>OBRAS PRELIMINARES</v>
      </c>
      <c r="R26" t="str">
        <v>replanteo y nivelacion con equipo topografico</v>
      </c>
    </row>
    <row r="27">
      <c r="A27" t="str">
        <v>CAM-0022</v>
      </c>
      <c r="B27" t="str">
        <v>OBRA CIVIL</v>
      </c>
      <c r="C27" t="str">
        <v>3,0101</v>
      </c>
      <c r="D27" s="97" t="str">
        <v>DESARMADA CUBIERTA TEJA, SIN DESALOJO</v>
      </c>
      <c r="E27" t="str">
        <v>m²</v>
      </c>
      <c r="F27" s="95" t="n">
        <v>0</v>
      </c>
      <c r="G27" s="95" t="n">
        <v>5.5</v>
      </c>
      <c r="H27" s="95" t="n">
        <v>0.83</v>
      </c>
      <c r="I27" s="95" t="n">
        <v>6.33</v>
      </c>
      <c r="J27" s="96" t="n">
        <v>0.22</v>
      </c>
      <c r="K27" s="95" t="n">
        <f>I27*(1+J27)</f>
        <v>7.7226</v>
      </c>
      <c r="L27" s="96" t="n">
        <v>0.3</v>
      </c>
      <c r="M27" s="95" t="n">
        <f>K27*(1+L27)</f>
        <v>10.03938</v>
      </c>
      <c r="N27" t="str">
        <v>CAMICON · Quito</v>
      </c>
      <c r="O27" t="str">
        <v>Octubre–diciembre 2025</v>
      </c>
      <c r="P27" s="97" t="str">
        <v>REFERENCIAL QUITO · utilidad 30% provisional</v>
      </c>
      <c r="Q27" t="str">
        <v>DESARMADOS, DERROCAMIENTOS Y DESALOJOS</v>
      </c>
      <c r="R27" t="str">
        <v>desarmada cubierta teja, sin desalojo</v>
      </c>
    </row>
    <row r="28">
      <c r="A28" t="str">
        <v>CAM-0023</v>
      </c>
      <c r="B28" t="str">
        <v>OBRA CIVIL</v>
      </c>
      <c r="C28" t="str">
        <v>3,0102</v>
      </c>
      <c r="D28" s="97" t="str">
        <v>DESARMADA CUBIERTA MADERA, SIN DESALOJO</v>
      </c>
      <c r="E28" t="str">
        <v>m²</v>
      </c>
      <c r="F28" s="95" t="n">
        <v>0</v>
      </c>
      <c r="G28" s="95" t="n">
        <v>4.73</v>
      </c>
      <c r="H28" s="95" t="n">
        <v>0.77</v>
      </c>
      <c r="I28" s="95" t="n">
        <v>5.5</v>
      </c>
      <c r="J28" s="96" t="n">
        <v>0.22</v>
      </c>
      <c r="K28" s="95" t="n">
        <f>I28*(1+J28)</f>
        <v>6.71</v>
      </c>
      <c r="L28" s="96" t="n">
        <v>0.3</v>
      </c>
      <c r="M28" s="95" t="n">
        <f>K28*(1+L28)</f>
        <v>8.723</v>
      </c>
      <c r="N28" t="str">
        <v>CAMICON · Quito</v>
      </c>
      <c r="O28" t="str">
        <v>Octubre–diciembre 2025</v>
      </c>
      <c r="P28" s="97" t="str">
        <v>REFERENCIAL QUITO · utilidad 30% provisional</v>
      </c>
      <c r="Q28" t="str">
        <v>DESARMADOS, DERROCAMIENTOS Y DESALOJOS</v>
      </c>
      <c r="R28" t="str">
        <v>desarmada cubierta madera, sin desalojo</v>
      </c>
    </row>
    <row r="29">
      <c r="A29" t="str">
        <v>CAM-0024</v>
      </c>
      <c r="B29" t="str">
        <v>ACABADOS Y GYPSUM</v>
      </c>
      <c r="C29" t="str">
        <v>3,0103</v>
      </c>
      <c r="D29" s="97" t="str">
        <v>DESARMADO DE CIELO FALSO TIPO GYPSUM</v>
      </c>
      <c r="E29" t="str">
        <v>m²</v>
      </c>
      <c r="F29" s="95" t="n">
        <v>0</v>
      </c>
      <c r="G29" s="95" t="n">
        <v>3.95</v>
      </c>
      <c r="H29" s="95" t="n">
        <v>1.47</v>
      </c>
      <c r="I29" s="95" t="n">
        <v>5.42</v>
      </c>
      <c r="J29" s="96" t="n">
        <v>0.22</v>
      </c>
      <c r="K29" s="95" t="n">
        <f>I29*(1+J29)</f>
        <v>6.6124</v>
      </c>
      <c r="L29" s="96" t="n">
        <v>0.3</v>
      </c>
      <c r="M29" s="95" t="n">
        <f>K29*(1+L29)</f>
        <v>8.59612</v>
      </c>
      <c r="N29" t="str">
        <v>CAMICON · Quito</v>
      </c>
      <c r="O29" t="str">
        <v>Octubre–diciembre 2025</v>
      </c>
      <c r="P29" s="97" t="str">
        <v>REFERENCIAL QUITO · utilidad 30% provisional</v>
      </c>
      <c r="Q29" t="str">
        <v>DESARMADOS, DERROCAMIENTOS Y DESALOJOS</v>
      </c>
      <c r="R29" t="str">
        <v>desarmado de cielo falso tipo gypsum</v>
      </c>
    </row>
    <row r="30">
      <c r="A30" t="str">
        <v>CAM-0025</v>
      </c>
      <c r="B30" t="str">
        <v>OBRA CIVIL</v>
      </c>
      <c r="C30" t="str">
        <v>3,0201</v>
      </c>
      <c r="D30" s="97" t="str">
        <v>DESARMADO DE PUERTA, REUTILIZACIÓN ANCHO 1 M</v>
      </c>
      <c r="E30" t="str">
        <v>u</v>
      </c>
      <c r="F30" s="95" t="n">
        <v>0</v>
      </c>
      <c r="G30" s="95" t="n">
        <v>8.99</v>
      </c>
      <c r="H30" s="95" t="n">
        <v>0.45</v>
      </c>
      <c r="I30" s="95" t="n">
        <v>9.44</v>
      </c>
      <c r="J30" s="96" t="n">
        <v>0.22</v>
      </c>
      <c r="K30" s="95" t="n">
        <f>I30*(1+J30)</f>
        <v>11.5168</v>
      </c>
      <c r="L30" s="96" t="n">
        <v>0.3</v>
      </c>
      <c r="M30" s="95" t="n">
        <f>K30*(1+L30)</f>
        <v>14.97184</v>
      </c>
      <c r="N30" t="str">
        <v>CAMICON · Quito</v>
      </c>
      <c r="O30" t="str">
        <v>Octubre–diciembre 2025</v>
      </c>
      <c r="P30" s="97" t="str">
        <v>REFERENCIAL QUITO · utilidad 30% provisional</v>
      </c>
      <c r="Q30" t="str">
        <v>DESARMADOS, DERROCAMIENTOS Y DESALOJOS</v>
      </c>
      <c r="R30" t="str">
        <v>desarmado de puerta, reutilizacion ancho 1 m</v>
      </c>
    </row>
    <row r="31">
      <c r="A31" t="str">
        <v>CAM-0026</v>
      </c>
      <c r="B31" t="str">
        <v>VIDRIO Y ALUMINIO</v>
      </c>
      <c r="C31" t="str">
        <v>3,0202</v>
      </c>
      <c r="D31" s="97" t="str">
        <v>DESARMADO DE VENTANAS</v>
      </c>
      <c r="E31" t="str">
        <v>m²</v>
      </c>
      <c r="F31" s="95" t="n">
        <v>0</v>
      </c>
      <c r="G31" s="95" t="n">
        <v>7.18</v>
      </c>
      <c r="H31" s="95" t="n">
        <v>0.36</v>
      </c>
      <c r="I31" s="95" t="n">
        <v>7.54</v>
      </c>
      <c r="J31" s="96" t="n">
        <v>0.22</v>
      </c>
      <c r="K31" s="95" t="n">
        <f>I31*(1+J31)</f>
        <v>9.1988</v>
      </c>
      <c r="L31" s="96" t="n">
        <v>0.3</v>
      </c>
      <c r="M31" s="95" t="n">
        <f>K31*(1+L31)</f>
        <v>11.958440000000001</v>
      </c>
      <c r="N31" t="str">
        <v>CAMICON · Quito</v>
      </c>
      <c r="O31" t="str">
        <v>Octubre–diciembre 2025</v>
      </c>
      <c r="P31" s="97" t="str">
        <v>REFERENCIAL QUITO · utilidad 30% provisional</v>
      </c>
      <c r="Q31" t="str">
        <v>DESARMADOS, DERROCAMIENTOS Y DESALOJOS</v>
      </c>
      <c r="R31" t="str">
        <v>desarmado de ventanas</v>
      </c>
    </row>
    <row r="32">
      <c r="A32" t="str">
        <v>CAM-0027</v>
      </c>
      <c r="B32" t="str">
        <v>OBRA CIVIL</v>
      </c>
      <c r="C32" t="str">
        <v>3,0203</v>
      </c>
      <c r="D32" s="97" t="str">
        <v>RETIRO DE PIEZAS SANITARIAS</v>
      </c>
      <c r="E32" t="str">
        <v>u</v>
      </c>
      <c r="F32" s="95" t="n">
        <v>0</v>
      </c>
      <c r="G32" s="95" t="n">
        <v>10.84</v>
      </c>
      <c r="H32" s="95" t="n">
        <v>0.54</v>
      </c>
      <c r="I32" s="95" t="n">
        <v>11.38</v>
      </c>
      <c r="J32" s="96" t="n">
        <v>0.22</v>
      </c>
      <c r="K32" s="95" t="n">
        <f>I32*(1+J32)</f>
        <v>13.883600000000001</v>
      </c>
      <c r="L32" s="96" t="n">
        <v>0.3</v>
      </c>
      <c r="M32" s="95" t="n">
        <f>K32*(1+L32)</f>
        <v>18.04868</v>
      </c>
      <c r="N32" t="str">
        <v>CAMICON · Quito</v>
      </c>
      <c r="O32" t="str">
        <v>Octubre–diciembre 2025</v>
      </c>
      <c r="P32" s="97" t="str">
        <v>REFERENCIAL QUITO · utilidad 30% provisional</v>
      </c>
      <c r="Q32" t="str">
        <v>DESARMADOS, DERROCAMIENTOS Y DESALOJOS</v>
      </c>
      <c r="R32" t="str">
        <v>retiro de piezas sanitarias</v>
      </c>
    </row>
    <row r="33">
      <c r="A33" t="str">
        <v>CAM-0028</v>
      </c>
      <c r="B33" t="str">
        <v>ACABADOS Y GYPSUM</v>
      </c>
      <c r="C33" t="str">
        <v>3,0301</v>
      </c>
      <c r="D33" s="97" t="str">
        <v>DESARMADO DE ENTABLADO PISO, SIN DESALOJO</v>
      </c>
      <c r="E33" t="str">
        <v>m²</v>
      </c>
      <c r="F33" s="95" t="n">
        <v>0</v>
      </c>
      <c r="G33" s="95" t="n">
        <v>2.11</v>
      </c>
      <c r="H33" s="95" t="n">
        <v>0.11</v>
      </c>
      <c r="I33" s="95" t="n">
        <v>2.22</v>
      </c>
      <c r="J33" s="96" t="n">
        <v>0.22</v>
      </c>
      <c r="K33" s="95" t="n">
        <f>I33*(1+J33)</f>
        <v>2.7084</v>
      </c>
      <c r="L33" s="96" t="n">
        <v>0.3</v>
      </c>
      <c r="M33" s="95" t="n">
        <f>K33*(1+L33)</f>
        <v>3.5209200000000003</v>
      </c>
      <c r="N33" t="str">
        <v>CAMICON · Quito</v>
      </c>
      <c r="O33" t="str">
        <v>Octubre–diciembre 2025</v>
      </c>
      <c r="P33" s="97" t="str">
        <v>REFERENCIAL QUITO · utilidad 30% provisional</v>
      </c>
      <c r="Q33" t="str">
        <v>DESARMADOS, DERROCAMIENTOS Y DESALOJOS</v>
      </c>
      <c r="R33" t="str">
        <v>desarmado de entablado piso, sin desalojo</v>
      </c>
    </row>
    <row r="34">
      <c r="A34" t="str">
        <v>CAM-0029</v>
      </c>
      <c r="B34" t="str">
        <v>ACABADOS Y GYPSUM</v>
      </c>
      <c r="C34" t="str">
        <v>3,0302</v>
      </c>
      <c r="D34" s="97" t="str">
        <v>DESTRONCADO DE PISO DE MADERA</v>
      </c>
      <c r="E34" t="str">
        <v>m²</v>
      </c>
      <c r="F34" s="95" t="n">
        <v>0</v>
      </c>
      <c r="G34" s="95" t="n">
        <v>3.08</v>
      </c>
      <c r="H34" s="95" t="n">
        <v>0.54</v>
      </c>
      <c r="I34" s="95" t="n">
        <v>3.62</v>
      </c>
      <c r="J34" s="96" t="n">
        <v>0.22</v>
      </c>
      <c r="K34" s="95" t="n">
        <f>I34*(1+J34)</f>
        <v>4.4164</v>
      </c>
      <c r="L34" s="96" t="n">
        <v>0.3</v>
      </c>
      <c r="M34" s="95" t="n">
        <f>K34*(1+L34)</f>
        <v>5.741320000000001</v>
      </c>
      <c r="N34" t="str">
        <v>CAMICON · Quito</v>
      </c>
      <c r="O34" t="str">
        <v>Octubre–diciembre 2025</v>
      </c>
      <c r="P34" s="97" t="str">
        <v>REFERENCIAL QUITO · utilidad 30% provisional</v>
      </c>
      <c r="Q34" t="str">
        <v>DESARMADOS, DERROCAMIENTOS Y DESALOJOS</v>
      </c>
      <c r="R34" t="str">
        <v>destroncado de piso de madera</v>
      </c>
    </row>
    <row r="35">
      <c r="A35" t="str">
        <v>CAM-0030</v>
      </c>
      <c r="B35" t="str">
        <v>OBRA CIVIL</v>
      </c>
      <c r="C35" t="str">
        <v>3,0303</v>
      </c>
      <c r="D35" s="97" t="str">
        <v>LEVANTAMIENTO DE ADOQUÍN CON MINI CARGADORA</v>
      </c>
      <c r="E35" t="str">
        <v>m²</v>
      </c>
      <c r="F35" s="95" t="n">
        <v>0</v>
      </c>
      <c r="G35" s="95" t="n">
        <v>0.42</v>
      </c>
      <c r="H35" s="95" t="n">
        <v>1.28</v>
      </c>
      <c r="I35" s="95" t="n">
        <v>1.7</v>
      </c>
      <c r="J35" s="96" t="n">
        <v>0.22</v>
      </c>
      <c r="K35" s="95" t="n">
        <f>I35*(1+J35)</f>
        <v>2.074</v>
      </c>
      <c r="L35" s="96" t="n">
        <v>0.3</v>
      </c>
      <c r="M35" s="95" t="n">
        <f>K35*(1+L35)</f>
        <v>2.6961999999999997</v>
      </c>
      <c r="N35" t="str">
        <v>CAMICON · Quito</v>
      </c>
      <c r="O35" t="str">
        <v>Octubre–diciembre 2025</v>
      </c>
      <c r="P35" s="97" t="str">
        <v>REFERENCIAL QUITO · utilidad 30% provisional</v>
      </c>
      <c r="Q35" t="str">
        <v>DESARMADOS, DERROCAMIENTOS Y DESALOJOS</v>
      </c>
      <c r="R35" t="str">
        <v>levantamiento de adoquin con mini cargadora</v>
      </c>
    </row>
    <row r="36">
      <c r="A36" t="str">
        <v>CAM-0031</v>
      </c>
      <c r="B36" t="str">
        <v>ACABADOS Y GYPSUM</v>
      </c>
      <c r="C36" t="str">
        <v>3,0304</v>
      </c>
      <c r="D36" s="97" t="str">
        <v>RETIRO DE PISOS DE CERÁMICA</v>
      </c>
      <c r="E36" t="str">
        <v>m²</v>
      </c>
      <c r="F36" s="95" t="n">
        <v>0</v>
      </c>
      <c r="G36" s="95" t="n">
        <v>6.61</v>
      </c>
      <c r="H36" s="95" t="n">
        <v>0.33</v>
      </c>
      <c r="I36" s="95" t="n">
        <v>6.94</v>
      </c>
      <c r="J36" s="96" t="n">
        <v>0.22</v>
      </c>
      <c r="K36" s="95" t="n">
        <f>I36*(1+J36)</f>
        <v>8.466800000000001</v>
      </c>
      <c r="L36" s="96" t="n">
        <v>0.3</v>
      </c>
      <c r="M36" s="95" t="n">
        <f>K36*(1+L36)</f>
        <v>11.006840000000002</v>
      </c>
      <c r="N36" t="str">
        <v>CAMICON · Quito</v>
      </c>
      <c r="O36" t="str">
        <v>Octubre–diciembre 2025</v>
      </c>
      <c r="P36" s="97" t="str">
        <v>REFERENCIAL QUITO · utilidad 30% provisional</v>
      </c>
      <c r="Q36" t="str">
        <v>DESARMADOS, DERROCAMIENTOS Y DESALOJOS</v>
      </c>
      <c r="R36" t="str">
        <v>retiro de pisos de ceramica</v>
      </c>
    </row>
    <row r="37">
      <c r="A37" t="str">
        <v>CAM-0032</v>
      </c>
      <c r="B37" t="str">
        <v>ACABADOS Y GYPSUM</v>
      </c>
      <c r="C37" t="str">
        <v>3,0305</v>
      </c>
      <c r="D37" s="97" t="str">
        <v>RETIRO DE PISOS DE PORCELANATO</v>
      </c>
      <c r="E37" t="str">
        <v>m²</v>
      </c>
      <c r="F37" s="95" t="n">
        <v>0</v>
      </c>
      <c r="G37" s="95" t="n">
        <v>8.59</v>
      </c>
      <c r="H37" s="95" t="n">
        <v>0.43</v>
      </c>
      <c r="I37" s="95" t="n">
        <v>9.02</v>
      </c>
      <c r="J37" s="96" t="n">
        <v>0.22</v>
      </c>
      <c r="K37" s="95" t="n">
        <f>I37*(1+J37)</f>
        <v>11.004399999999999</v>
      </c>
      <c r="L37" s="96" t="n">
        <v>0.3</v>
      </c>
      <c r="M37" s="95" t="n">
        <f>K37*(1+L37)</f>
        <v>14.305719999999999</v>
      </c>
      <c r="N37" t="str">
        <v>CAMICON · Quito</v>
      </c>
      <c r="O37" t="str">
        <v>Octubre–diciembre 2025</v>
      </c>
      <c r="P37" s="97" t="str">
        <v>REFERENCIAL QUITO · utilidad 30% provisional</v>
      </c>
      <c r="Q37" t="str">
        <v>DESARMADOS, DERROCAMIENTOS Y DESALOJOS</v>
      </c>
      <c r="R37" t="str">
        <v>retiro de pisos de porcelanato</v>
      </c>
    </row>
    <row r="38">
      <c r="A38" t="str">
        <v>CAM-0033</v>
      </c>
      <c r="B38" t="str">
        <v>OBRA CIVIL</v>
      </c>
      <c r="C38" t="str">
        <v>3,0306</v>
      </c>
      <c r="D38" s="97" t="str">
        <v>ROTURA DE PAVIMENTO ASFÁLTICO E=5 CM CON CORTADORA DE ASFALTO</v>
      </c>
      <c r="E38" t="str">
        <v>m²</v>
      </c>
      <c r="F38" s="95" t="n">
        <v>0.78</v>
      </c>
      <c r="G38" s="95" t="n">
        <v>6.3</v>
      </c>
      <c r="H38" s="95" t="n">
        <v>3.07</v>
      </c>
      <c r="I38" s="95" t="n">
        <v>10.15</v>
      </c>
      <c r="J38" s="96" t="n">
        <v>0.22</v>
      </c>
      <c r="K38" s="95" t="n">
        <f>I38*(1+J38)</f>
        <v>12.383000000000001</v>
      </c>
      <c r="L38" s="96" t="n">
        <v>0.3</v>
      </c>
      <c r="M38" s="95" t="n">
        <f>K38*(1+L38)</f>
        <v>16.097900000000003</v>
      </c>
      <c r="N38" t="str">
        <v>CAMICON · Quito</v>
      </c>
      <c r="O38" t="str">
        <v>Octubre–diciembre 2025</v>
      </c>
      <c r="P38" s="97" t="str">
        <v>REFERENCIAL QUITO · utilidad 30% provisional</v>
      </c>
      <c r="Q38" t="str">
        <v>DESARMADOS, DERROCAMIENTOS Y DESALOJOS</v>
      </c>
      <c r="R38" t="str">
        <v>rotura de pavimento asfaltico e=5 cm con cortadora de asfalto</v>
      </c>
    </row>
    <row r="39">
      <c r="A39" t="str">
        <v>CAM-0034</v>
      </c>
      <c r="B39" t="str">
        <v>OBRA CIVIL</v>
      </c>
      <c r="C39" t="str">
        <v>3,0401</v>
      </c>
      <c r="D39" s="97" t="str">
        <v>DERROCAMIENTO DE ESTRUCTURA EXISTENTE HORMIGÓN ARMADO</v>
      </c>
      <c r="E39" t="str">
        <v>m³</v>
      </c>
      <c r="F39" s="95" t="n">
        <v>0.07</v>
      </c>
      <c r="G39" s="95" t="n">
        <v>41.53</v>
      </c>
      <c r="H39" s="95" t="n">
        <v>33.99</v>
      </c>
      <c r="I39" s="95" t="n">
        <v>75.59</v>
      </c>
      <c r="J39" s="96" t="n">
        <v>0.22</v>
      </c>
      <c r="K39" s="95" t="n">
        <f>I39*(1+J39)</f>
        <v>92.2198</v>
      </c>
      <c r="L39" s="96" t="n">
        <v>0.3</v>
      </c>
      <c r="M39" s="95" t="n">
        <f>K39*(1+L39)</f>
        <v>119.88574000000001</v>
      </c>
      <c r="N39" t="str">
        <v>CAMICON · Quito</v>
      </c>
      <c r="O39" t="str">
        <v>Octubre–diciembre 2025</v>
      </c>
      <c r="P39" s="97" t="str">
        <v>REFERENCIAL QUITO · utilidad 30% provisional</v>
      </c>
      <c r="Q39" t="str">
        <v>DESARMADOS, DERROCAMIENTOS Y DESALOJOS</v>
      </c>
      <c r="R39" t="str">
        <v>derrocamiento de estructura existente hormigon armado</v>
      </c>
    </row>
    <row r="40">
      <c r="A40" t="str">
        <v>CAM-0035</v>
      </c>
      <c r="B40" t="str">
        <v>VARIOS, TRANSPORTE Y MONTAJE</v>
      </c>
      <c r="C40" t="str">
        <v>3,0402</v>
      </c>
      <c r="D40" s="97" t="str">
        <v>DESMONTAJE MANUAL DE ESTRUCTURA EXISTENTE DE ACERO</v>
      </c>
      <c r="E40" t="str">
        <v>kg</v>
      </c>
      <c r="F40" s="95" t="n">
        <v>0.31</v>
      </c>
      <c r="G40" s="95" t="n">
        <v>0.78</v>
      </c>
      <c r="H40" s="95" t="n">
        <v>0.3</v>
      </c>
      <c r="I40" s="95" t="n">
        <v>1.39</v>
      </c>
      <c r="J40" s="96" t="n">
        <v>0.22</v>
      </c>
      <c r="K40" s="95" t="n">
        <f>I40*(1+J40)</f>
        <v>1.6957999999999998</v>
      </c>
      <c r="L40" s="96" t="n">
        <v>0.3</v>
      </c>
      <c r="M40" s="95" t="n">
        <f>K40*(1+L40)</f>
        <v>2.2045399999999997</v>
      </c>
      <c r="N40" t="str">
        <v>CAMICON · Quito</v>
      </c>
      <c r="O40" t="str">
        <v>Octubre–diciembre 2025</v>
      </c>
      <c r="P40" s="97" t="str">
        <v>REFERENCIAL QUITO · utilidad 30% provisional</v>
      </c>
      <c r="Q40" t="str">
        <v>DESARMADOS, DERROCAMIENTOS Y DESALOJOS</v>
      </c>
      <c r="R40" t="str">
        <v>desmontaje manual de estructura existente de acero</v>
      </c>
    </row>
    <row r="41">
      <c r="A41" t="str">
        <v>CAM-0036</v>
      </c>
      <c r="B41" t="str">
        <v>OBRA CIVIL</v>
      </c>
      <c r="C41" t="str">
        <v>3,0501</v>
      </c>
      <c r="D41" s="97" t="str">
        <v>DERROCAMIENTO DE MAMPOSTERÍA DE BLOQUE</v>
      </c>
      <c r="E41" t="str">
        <v>m²</v>
      </c>
      <c r="F41" s="95" t="n">
        <v>0</v>
      </c>
      <c r="G41" s="95" t="n">
        <v>3.59</v>
      </c>
      <c r="H41" s="95" t="n">
        <v>0.18</v>
      </c>
      <c r="I41" s="95" t="n">
        <v>3.77</v>
      </c>
      <c r="J41" s="96" t="n">
        <v>0.22</v>
      </c>
      <c r="K41" s="95" t="n">
        <f>I41*(1+J41)</f>
        <v>4.5994</v>
      </c>
      <c r="L41" s="96" t="n">
        <v>0.3</v>
      </c>
      <c r="M41" s="95" t="n">
        <f>K41*(1+L41)</f>
        <v>5.979220000000001</v>
      </c>
      <c r="N41" t="str">
        <v>CAMICON · Quito</v>
      </c>
      <c r="O41" t="str">
        <v>Octubre–diciembre 2025</v>
      </c>
      <c r="P41" s="97" t="str">
        <v>REFERENCIAL QUITO · utilidad 30% provisional</v>
      </c>
      <c r="Q41" t="str">
        <v>DESARMADOS, DERROCAMIENTOS Y DESALOJOS</v>
      </c>
      <c r="R41" t="str">
        <v>derrocamiento de mamposteria de bloque</v>
      </c>
    </row>
    <row r="42">
      <c r="A42" t="str">
        <v>CAM-0037</v>
      </c>
      <c r="B42" t="str">
        <v>OBRA CIVIL</v>
      </c>
      <c r="C42" t="str">
        <v>3,0502</v>
      </c>
      <c r="D42" s="97" t="str">
        <v>DERROCAMIENTO DE MAMPOSTERÍA DE LADRILLO</v>
      </c>
      <c r="E42" t="str">
        <v>m²</v>
      </c>
      <c r="F42" s="95" t="n">
        <v>0</v>
      </c>
      <c r="G42" s="95" t="n">
        <v>4.04</v>
      </c>
      <c r="H42" s="95" t="n">
        <v>0.2</v>
      </c>
      <c r="I42" s="95" t="n">
        <v>4.24</v>
      </c>
      <c r="J42" s="96" t="n">
        <v>0.22</v>
      </c>
      <c r="K42" s="95" t="n">
        <f>I42*(1+J42)</f>
        <v>5.1728000000000005</v>
      </c>
      <c r="L42" s="96" t="n">
        <v>0.3</v>
      </c>
      <c r="M42" s="95" t="n">
        <f>K42*(1+L42)</f>
        <v>6.724640000000001</v>
      </c>
      <c r="N42" t="str">
        <v>CAMICON · Quito</v>
      </c>
      <c r="O42" t="str">
        <v>Octubre–diciembre 2025</v>
      </c>
      <c r="P42" s="97" t="str">
        <v>REFERENCIAL QUITO · utilidad 30% provisional</v>
      </c>
      <c r="Q42" t="str">
        <v>DESARMADOS, DERROCAMIENTOS Y DESALOJOS</v>
      </c>
      <c r="R42" t="str">
        <v>derrocamiento de mamposteria de ladrillo</v>
      </c>
    </row>
    <row r="43">
      <c r="A43" t="str">
        <v>CAM-0038</v>
      </c>
      <c r="B43" t="str">
        <v>OBRA CIVIL</v>
      </c>
      <c r="C43" t="str">
        <v>3,0601</v>
      </c>
      <c r="D43" s="97" t="str">
        <v>DESALOJO A MÁQUINA CON EQUIPO: CARGADORA FRONTAL Y VOLQUETA</v>
      </c>
      <c r="E43" t="str">
        <v>m³</v>
      </c>
      <c r="F43" s="95" t="n">
        <v>0</v>
      </c>
      <c r="G43" s="95" t="n">
        <v>0.78</v>
      </c>
      <c r="H43" s="95" t="n">
        <v>4.53</v>
      </c>
      <c r="I43" s="95" t="n">
        <v>5.31</v>
      </c>
      <c r="J43" s="96" t="n">
        <v>0.22</v>
      </c>
      <c r="K43" s="95" t="n">
        <f>I43*(1+J43)</f>
        <v>6.478199999999999</v>
      </c>
      <c r="L43" s="96" t="n">
        <v>0.3</v>
      </c>
      <c r="M43" s="95" t="n">
        <f>K43*(1+L43)</f>
        <v>8.42166</v>
      </c>
      <c r="N43" t="str">
        <v>CAMICON · Quito</v>
      </c>
      <c r="O43" t="str">
        <v>Octubre–diciembre 2025</v>
      </c>
      <c r="P43" s="97" t="str">
        <v>REFERENCIAL QUITO · utilidad 30% provisional</v>
      </c>
      <c r="Q43" t="str">
        <v>DESARMADOS, DERROCAMIENTOS Y DESALOJOS</v>
      </c>
      <c r="R43" t="str">
        <v>desalojo a maquina con equipo: cargadora frontal y volqueta</v>
      </c>
    </row>
    <row r="44">
      <c r="A44" t="str">
        <v>CAM-0039</v>
      </c>
      <c r="B44" t="str">
        <v>OBRA CIVIL</v>
      </c>
      <c r="C44" t="str">
        <v>3,0602</v>
      </c>
      <c r="D44" s="97" t="str">
        <v>DESALOJO A MÁQUINA CON EQUIPO: CARGADORA FRONTAL Y VOLQUETA (HORARIO NOCTURNO)</v>
      </c>
      <c r="E44" t="str">
        <v>m³</v>
      </c>
      <c r="F44" s="95" t="n">
        <v>0.07</v>
      </c>
      <c r="G44" s="95" t="n">
        <v>1.03</v>
      </c>
      <c r="H44" s="95" t="n">
        <v>5.42</v>
      </c>
      <c r="I44" s="95" t="n">
        <v>6.52</v>
      </c>
      <c r="J44" s="96" t="n">
        <v>0.22</v>
      </c>
      <c r="K44" s="95" t="n">
        <f>I44*(1+J44)</f>
        <v>7.9544</v>
      </c>
      <c r="L44" s="96" t="n">
        <v>0.3</v>
      </c>
      <c r="M44" s="95" t="n">
        <f>K44*(1+L44)</f>
        <v>10.34072</v>
      </c>
      <c r="N44" t="str">
        <v>CAMICON · Quito</v>
      </c>
      <c r="O44" t="str">
        <v>Octubre–diciembre 2025</v>
      </c>
      <c r="P44" s="97" t="str">
        <v>REFERENCIAL QUITO · utilidad 30% provisional</v>
      </c>
      <c r="Q44" t="str">
        <v>DESARMADOS, DERROCAMIENTOS Y DESALOJOS</v>
      </c>
      <c r="R44" t="str">
        <v>desalojo a maquina con equipo: cargadora frontal y volqueta (horario nocturno)</v>
      </c>
    </row>
    <row r="45">
      <c r="A45" t="str">
        <v>CAM-0040</v>
      </c>
      <c r="B45" t="str">
        <v>VARIOS, TRANSPORTE Y MONTAJE</v>
      </c>
      <c r="C45" t="str">
        <v>3.0603</v>
      </c>
      <c r="D45" s="97" t="str">
        <v>DESALOJO DE MATERIAL CON VOLQUETA (TRANSPORTE 10 KM) CARGADA MANUAL</v>
      </c>
      <c r="E45" t="str">
        <v>m³</v>
      </c>
      <c r="F45" s="95" t="n">
        <v>0</v>
      </c>
      <c r="G45" s="95" t="n">
        <v>9.32</v>
      </c>
      <c r="H45" s="95" t="n">
        <v>3.68</v>
      </c>
      <c r="I45" s="95" t="n">
        <v>13</v>
      </c>
      <c r="J45" s="96" t="n">
        <v>0.22</v>
      </c>
      <c r="K45" s="95" t="n">
        <f>I45*(1+J45)</f>
        <v>15.86</v>
      </c>
      <c r="L45" s="96" t="n">
        <v>0.3</v>
      </c>
      <c r="M45" s="95" t="n">
        <f>K45*(1+L45)</f>
        <v>20.618</v>
      </c>
      <c r="N45" t="str">
        <v>CAMICON · Quito</v>
      </c>
      <c r="O45" t="str">
        <v>Octubre–diciembre 2025</v>
      </c>
      <c r="P45" s="97" t="str">
        <v>REFERENCIAL QUITO · utilidad 30% provisional</v>
      </c>
      <c r="Q45" t="str">
        <v>DESARMADOS, DERROCAMIENTOS Y DESALOJOS</v>
      </c>
      <c r="R45" t="str">
        <v>desalojo de material con volqueta (transporte 10 km) cargada manual</v>
      </c>
    </row>
    <row r="46">
      <c r="A46" t="str">
        <v>CAM-0041</v>
      </c>
      <c r="B46" t="str">
        <v>VARIOS, TRANSPORTE Y MONTAJE</v>
      </c>
      <c r="C46" t="str">
        <v>3.0604</v>
      </c>
      <c r="D46" s="97" t="str">
        <v>DESALOJO DE MATERIAL CON VOLQUETA (TRANSPORTE 10 KM) CARGADA MANUAL (HORARIO NOCTURNO)</v>
      </c>
      <c r="E46" t="str">
        <v>m³</v>
      </c>
      <c r="F46" s="95" t="n">
        <v>0</v>
      </c>
      <c r="G46" s="95" t="n">
        <v>12.24</v>
      </c>
      <c r="H46" s="95" t="n">
        <v>5.29</v>
      </c>
      <c r="I46" s="95" t="n">
        <v>17.53</v>
      </c>
      <c r="J46" s="96" t="n">
        <v>0.22</v>
      </c>
      <c r="K46" s="95" t="n">
        <f>I46*(1+J46)</f>
        <v>21.3866</v>
      </c>
      <c r="L46" s="96" t="n">
        <v>0.3</v>
      </c>
      <c r="M46" s="95" t="n">
        <f>K46*(1+L46)</f>
        <v>27.802580000000003</v>
      </c>
      <c r="N46" t="str">
        <v>CAMICON · Quito</v>
      </c>
      <c r="O46" t="str">
        <v>Octubre–diciembre 2025</v>
      </c>
      <c r="P46" s="97" t="str">
        <v>REFERENCIAL QUITO · utilidad 30% provisional</v>
      </c>
      <c r="Q46" t="str">
        <v>DESARMADOS, DERROCAMIENTOS Y DESALOJOS</v>
      </c>
      <c r="R46" t="str">
        <v>desalojo de material con volqueta (transporte 10 km) cargada manual (horario nocturno)</v>
      </c>
    </row>
    <row r="47">
      <c r="A47" t="str">
        <v>CAM-0042</v>
      </c>
      <c r="B47" t="str">
        <v>OBRA CIVIL</v>
      </c>
      <c r="C47" t="str">
        <v>4,0101</v>
      </c>
      <c r="D47" s="97" t="str">
        <v>DESBANQUE MANUAL</v>
      </c>
      <c r="E47" t="str">
        <v>m³</v>
      </c>
      <c r="F47" s="95" t="n">
        <v>0</v>
      </c>
      <c r="G47" s="95" t="n">
        <v>10.99</v>
      </c>
      <c r="H47" s="95" t="n">
        <v>0.55</v>
      </c>
      <c r="I47" s="95" t="n">
        <v>11.54</v>
      </c>
      <c r="J47" s="96" t="n">
        <v>0.22</v>
      </c>
      <c r="K47" s="95" t="n">
        <f>I47*(1+J47)</f>
        <v>14.0788</v>
      </c>
      <c r="L47" s="96" t="n">
        <v>0.3</v>
      </c>
      <c r="M47" s="95" t="n">
        <f>K47*(1+L47)</f>
        <v>18.30244</v>
      </c>
      <c r="N47" t="str">
        <v>CAMICON · Quito</v>
      </c>
      <c r="O47" t="str">
        <v>Octubre–diciembre 2025</v>
      </c>
      <c r="P47" s="97" t="str">
        <v>REFERENCIAL QUITO · utilidad 30% provisional</v>
      </c>
      <c r="Q47" t="str">
        <v>MOVIMIENTOS DE TIERRAS</v>
      </c>
      <c r="R47" t="str">
        <v>desbanque manual</v>
      </c>
    </row>
    <row r="48">
      <c r="A48" t="str">
        <v>CAM-0043</v>
      </c>
      <c r="B48" t="str">
        <v>OBRA CIVIL</v>
      </c>
      <c r="C48" t="str">
        <v>4,0102</v>
      </c>
      <c r="D48" s="97" t="str">
        <v>EXCAVACIÓN DE ZANJAS A MÁQUINA. EQUIPO: EXCAVADORA</v>
      </c>
      <c r="E48" t="str">
        <v>m³</v>
      </c>
      <c r="F48" s="95" t="n">
        <v>0</v>
      </c>
      <c r="G48" s="95" t="n">
        <v>0.96</v>
      </c>
      <c r="H48" s="95" t="n">
        <v>2.62</v>
      </c>
      <c r="I48" s="95" t="n">
        <v>3.58</v>
      </c>
      <c r="J48" s="96" t="n">
        <v>0.22</v>
      </c>
      <c r="K48" s="95" t="n">
        <f>I48*(1+J48)</f>
        <v>4.3676</v>
      </c>
      <c r="L48" s="96" t="n">
        <v>0.3</v>
      </c>
      <c r="M48" s="95" t="n">
        <f>K48*(1+L48)</f>
        <v>5.677880000000001</v>
      </c>
      <c r="N48" t="str">
        <v>CAMICON · Quito</v>
      </c>
      <c r="O48" t="str">
        <v>Octubre–diciembre 2025</v>
      </c>
      <c r="P48" s="97" t="str">
        <v>REFERENCIAL QUITO · utilidad 30% provisional</v>
      </c>
      <c r="Q48" t="str">
        <v>MOVIMIENTOS DE TIERRAS</v>
      </c>
      <c r="R48" t="str">
        <v>excavacion de zanjas a maquina. equipo: excavadora</v>
      </c>
    </row>
    <row r="49">
      <c r="A49" t="str">
        <v>CAM-0044</v>
      </c>
      <c r="B49" t="str">
        <v>OBRA CIVIL</v>
      </c>
      <c r="C49" t="str">
        <v>4,0103</v>
      </c>
      <c r="D49" s="97" t="str">
        <v>EXCAVACIÓN EN FANGO CON EQUIPO: EXCAVADORA Y BOMBA DE AGUA</v>
      </c>
      <c r="E49" t="str">
        <v>m³</v>
      </c>
      <c r="F49" s="95" t="n">
        <v>0</v>
      </c>
      <c r="G49" s="95" t="n">
        <v>2.64</v>
      </c>
      <c r="H49" s="95" t="n">
        <v>6.26</v>
      </c>
      <c r="I49" s="95" t="n">
        <v>8.9</v>
      </c>
      <c r="J49" s="96" t="n">
        <v>0.22</v>
      </c>
      <c r="K49" s="95" t="n">
        <f>I49*(1+J49)</f>
        <v>10.858</v>
      </c>
      <c r="L49" s="96" t="n">
        <v>0.3</v>
      </c>
      <c r="M49" s="95" t="n">
        <f>K49*(1+L49)</f>
        <v>14.115400000000001</v>
      </c>
      <c r="N49" t="str">
        <v>CAMICON · Quito</v>
      </c>
      <c r="O49" t="str">
        <v>Octubre–diciembre 2025</v>
      </c>
      <c r="P49" s="97" t="str">
        <v>REFERENCIAL QUITO · utilidad 30% provisional</v>
      </c>
      <c r="Q49" t="str">
        <v>MOVIMIENTOS DE TIERRAS</v>
      </c>
      <c r="R49" t="str">
        <v>excavacion en fango con equipo: excavadora y bomba de agua</v>
      </c>
    </row>
    <row r="50">
      <c r="A50" t="str">
        <v>CAM-0045</v>
      </c>
      <c r="B50" t="str">
        <v>OBRA CIVIL</v>
      </c>
      <c r="C50" t="str">
        <v>4,0104</v>
      </c>
      <c r="D50" s="97" t="str">
        <v>EXCAVACIÓN EN ROCA CON EQUIPO LIVIANO (COMPRESOR)</v>
      </c>
      <c r="E50" t="str">
        <v>m³</v>
      </c>
      <c r="F50" s="95" t="n">
        <v>0</v>
      </c>
      <c r="G50" s="95" t="n">
        <v>17.34</v>
      </c>
      <c r="H50" s="95" t="n">
        <v>16.82</v>
      </c>
      <c r="I50" s="95" t="n">
        <v>34.16</v>
      </c>
      <c r="J50" s="96" t="n">
        <v>0.22</v>
      </c>
      <c r="K50" s="95" t="n">
        <f>I50*(1+J50)</f>
        <v>41.6752</v>
      </c>
      <c r="L50" s="96" t="n">
        <v>0.3</v>
      </c>
      <c r="M50" s="95" t="n">
        <f>K50*(1+L50)</f>
        <v>54.17776</v>
      </c>
      <c r="N50" t="str">
        <v>CAMICON · Quito</v>
      </c>
      <c r="O50" t="str">
        <v>Octubre–diciembre 2025</v>
      </c>
      <c r="P50" s="97" t="str">
        <v>REFERENCIAL QUITO · utilidad 30% provisional</v>
      </c>
      <c r="Q50" t="str">
        <v>MOVIMIENTOS DE TIERRAS</v>
      </c>
      <c r="R50" t="str">
        <v>excavacion en roca con equipo liviano (compresor)</v>
      </c>
    </row>
    <row r="51">
      <c r="A51" t="str">
        <v>CAM-0046</v>
      </c>
      <c r="B51" t="str">
        <v>OBRA CIVIL</v>
      </c>
      <c r="C51" t="str">
        <v>4,0105</v>
      </c>
      <c r="D51" s="97" t="str">
        <v>EXCAVACIÓN H=3 A 4 M A MÁQUINA (EXCAVADORA)</v>
      </c>
      <c r="E51" t="str">
        <v>m³</v>
      </c>
      <c r="F51" s="95" t="n">
        <v>0</v>
      </c>
      <c r="G51" s="95" t="n">
        <v>1.7</v>
      </c>
      <c r="H51" s="95" t="n">
        <v>4.6</v>
      </c>
      <c r="I51" s="95" t="n">
        <v>6.3</v>
      </c>
      <c r="J51" s="96" t="n">
        <v>0.22</v>
      </c>
      <c r="K51" s="95" t="n">
        <f>I51*(1+J51)</f>
        <v>7.686</v>
      </c>
      <c r="L51" s="96" t="n">
        <v>0.3</v>
      </c>
      <c r="M51" s="95" t="n">
        <f>K51*(1+L51)</f>
        <v>9.9918</v>
      </c>
      <c r="N51" t="str">
        <v>CAMICON · Quito</v>
      </c>
      <c r="O51" t="str">
        <v>Octubre–diciembre 2025</v>
      </c>
      <c r="P51" s="97" t="str">
        <v>REFERENCIAL QUITO · utilidad 30% provisional</v>
      </c>
      <c r="Q51" t="str">
        <v>MOVIMIENTOS DE TIERRAS</v>
      </c>
      <c r="R51" t="str">
        <v>excavacion h=3 a 4 m a maquina (excavadora)</v>
      </c>
    </row>
    <row r="52">
      <c r="A52" t="str">
        <v>CAM-0047</v>
      </c>
      <c r="B52" t="str">
        <v>OBRA CIVIL</v>
      </c>
      <c r="C52" t="str">
        <v>4,0106</v>
      </c>
      <c r="D52" s="97" t="str">
        <v>EXCAVACIÓN H=4 A 6 M. A MÁQUINA (EXCAVADORA)</v>
      </c>
      <c r="E52" t="str">
        <v>m³</v>
      </c>
      <c r="F52" s="95" t="n">
        <v>0</v>
      </c>
      <c r="G52" s="95" t="n">
        <v>2.12</v>
      </c>
      <c r="H52" s="95" t="n">
        <v>5.76</v>
      </c>
      <c r="I52" s="95" t="n">
        <v>7.88</v>
      </c>
      <c r="J52" s="96" t="n">
        <v>0.22</v>
      </c>
      <c r="K52" s="95" t="n">
        <f>I52*(1+J52)</f>
        <v>9.6136</v>
      </c>
      <c r="L52" s="96" t="n">
        <v>0.3</v>
      </c>
      <c r="M52" s="95" t="n">
        <f>K52*(1+L52)</f>
        <v>12.49768</v>
      </c>
      <c r="N52" t="str">
        <v>CAMICON · Quito</v>
      </c>
      <c r="O52" t="str">
        <v>Octubre–diciembre 2025</v>
      </c>
      <c r="P52" s="97" t="str">
        <v>REFERENCIAL QUITO · utilidad 30% provisional</v>
      </c>
      <c r="Q52" t="str">
        <v>MOVIMIENTOS DE TIERRAS</v>
      </c>
      <c r="R52" t="str">
        <v>excavacion h=4 a 6 m. a maquina (excavadora)</v>
      </c>
    </row>
    <row r="53">
      <c r="A53" t="str">
        <v>CAM-0048</v>
      </c>
      <c r="B53" t="str">
        <v>OBRA CIVIL</v>
      </c>
      <c r="C53" t="str">
        <v>4,0107</v>
      </c>
      <c r="D53" s="97" t="str">
        <v>EXCAVACIÓN H&gt;6 M A MÁQUINA (EXCAVADORA)</v>
      </c>
      <c r="E53" t="str">
        <v>m³</v>
      </c>
      <c r="F53" s="95" t="n">
        <v>0</v>
      </c>
      <c r="G53" s="95" t="n">
        <v>2.41</v>
      </c>
      <c r="H53" s="95" t="n">
        <v>9.21</v>
      </c>
      <c r="I53" s="95" t="n">
        <v>11.62</v>
      </c>
      <c r="J53" s="96" t="n">
        <v>0.22</v>
      </c>
      <c r="K53" s="95" t="n">
        <f>I53*(1+J53)</f>
        <v>14.1764</v>
      </c>
      <c r="L53" s="96" t="n">
        <v>0.3</v>
      </c>
      <c r="M53" s="95" t="n">
        <f>K53*(1+L53)</f>
        <v>18.42932</v>
      </c>
      <c r="N53" t="str">
        <v>CAMICON · Quito</v>
      </c>
      <c r="O53" t="str">
        <v>Octubre–diciembre 2025</v>
      </c>
      <c r="P53" s="97" t="str">
        <v>REFERENCIAL QUITO · utilidad 30% provisional</v>
      </c>
      <c r="Q53" t="str">
        <v>MOVIMIENTOS DE TIERRAS</v>
      </c>
      <c r="R53" t="str">
        <v>excavacion h&gt;6 m a maquina (excavadora)</v>
      </c>
    </row>
    <row r="54">
      <c r="A54" t="str">
        <v>CAM-0049</v>
      </c>
      <c r="B54" t="str">
        <v>OBRA CIVIL</v>
      </c>
      <c r="C54" t="str">
        <v>4,0108</v>
      </c>
      <c r="D54" s="97" t="str">
        <v>EXCAVACIÓN MANUAL EN CIMIENTOS Y PLINTOS</v>
      </c>
      <c r="E54" t="str">
        <v>m³</v>
      </c>
      <c r="F54" s="95" t="n">
        <v>0</v>
      </c>
      <c r="G54" s="95" t="n">
        <v>16.26</v>
      </c>
      <c r="H54" s="95" t="n">
        <v>0.81</v>
      </c>
      <c r="I54" s="95" t="n">
        <v>17.07</v>
      </c>
      <c r="J54" s="96" t="n">
        <v>0.22</v>
      </c>
      <c r="K54" s="95" t="n">
        <f>I54*(1+J54)</f>
        <v>20.8254</v>
      </c>
      <c r="L54" s="96" t="n">
        <v>0.3</v>
      </c>
      <c r="M54" s="95" t="n">
        <f>K54*(1+L54)</f>
        <v>27.07302</v>
      </c>
      <c r="N54" t="str">
        <v>CAMICON · Quito</v>
      </c>
      <c r="O54" t="str">
        <v>Octubre–diciembre 2025</v>
      </c>
      <c r="P54" s="97" t="str">
        <v>REFERENCIAL QUITO · utilidad 30% provisional</v>
      </c>
      <c r="Q54" t="str">
        <v>MOVIMIENTOS DE TIERRAS</v>
      </c>
      <c r="R54" t="str">
        <v>excavacion manual en cimientos y plintos</v>
      </c>
    </row>
    <row r="55">
      <c r="A55" t="str">
        <v>CAM-0050</v>
      </c>
      <c r="B55" t="str">
        <v>OBRA CIVIL</v>
      </c>
      <c r="C55" t="str">
        <v>4,0201</v>
      </c>
      <c r="D55" s="97" t="str">
        <v>RELLENO COMPACTADO CON SUB-BASE CLASE III</v>
      </c>
      <c r="E55" t="str">
        <v>m³</v>
      </c>
      <c r="F55" s="95" t="n">
        <v>14.77</v>
      </c>
      <c r="G55" s="95" t="n">
        <v>5.28</v>
      </c>
      <c r="H55" s="95" t="n">
        <v>2.44</v>
      </c>
      <c r="I55" s="95" t="n">
        <v>22.49</v>
      </c>
      <c r="J55" s="96" t="n">
        <v>0.22</v>
      </c>
      <c r="K55" s="95" t="n">
        <f>I55*(1+J55)</f>
        <v>27.437799999999996</v>
      </c>
      <c r="L55" s="96" t="n">
        <v>0.3</v>
      </c>
      <c r="M55" s="95" t="n">
        <f>K55*(1+L55)</f>
        <v>35.66914</v>
      </c>
      <c r="N55" t="str">
        <v>CAMICON · Quito</v>
      </c>
      <c r="O55" t="str">
        <v>Octubre–diciembre 2025</v>
      </c>
      <c r="P55" s="97" t="str">
        <v>REFERENCIAL QUITO · utilidad 30% provisional</v>
      </c>
      <c r="Q55" t="str">
        <v>MOVIMIENTOS DE TIERRAS</v>
      </c>
      <c r="R55" t="str">
        <v>relleno compactado con sub-base clase iii</v>
      </c>
    </row>
    <row r="56">
      <c r="A56" t="str">
        <v>CAM-0051</v>
      </c>
      <c r="B56" t="str">
        <v>OBRA CIVIL</v>
      </c>
      <c r="C56" t="str">
        <v>4,0202</v>
      </c>
      <c r="D56" s="97" t="str">
        <v>RELLENO COMPACTADO CON SUELO NATURAL</v>
      </c>
      <c r="E56" t="str">
        <v>m³</v>
      </c>
      <c r="F56" s="95" t="n">
        <v>0.02</v>
      </c>
      <c r="G56" s="95" t="n">
        <v>5.28</v>
      </c>
      <c r="H56" s="95" t="n">
        <v>2.44</v>
      </c>
      <c r="I56" s="95" t="n">
        <v>7.74</v>
      </c>
      <c r="J56" s="96" t="n">
        <v>0.22</v>
      </c>
      <c r="K56" s="95" t="n">
        <f>I56*(1+J56)</f>
        <v>9.4428</v>
      </c>
      <c r="L56" s="96" t="n">
        <v>0.3</v>
      </c>
      <c r="M56" s="95" t="n">
        <f>K56*(1+L56)</f>
        <v>12.275640000000001</v>
      </c>
      <c r="N56" t="str">
        <v>CAMICON · Quito</v>
      </c>
      <c r="O56" t="str">
        <v>Octubre–diciembre 2025</v>
      </c>
      <c r="P56" s="97" t="str">
        <v>REFERENCIAL QUITO · utilidad 30% provisional</v>
      </c>
      <c r="Q56" t="str">
        <v>MOVIMIENTOS DE TIERRAS</v>
      </c>
      <c r="R56" t="str">
        <v>relleno compactado con suelo natural</v>
      </c>
    </row>
    <row r="57">
      <c r="A57" t="str">
        <v>CAM-0052</v>
      </c>
      <c r="B57" t="str">
        <v>OBRA CIVIL</v>
      </c>
      <c r="C57" t="str">
        <v>4,0203</v>
      </c>
      <c r="D57" s="97" t="str">
        <v>SOBREACARREO A MANO DISTANCIA=100 M</v>
      </c>
      <c r="E57" t="str">
        <v>m³</v>
      </c>
      <c r="F57" s="95" t="n">
        <v>0</v>
      </c>
      <c r="G57" s="95" t="n">
        <v>11.23</v>
      </c>
      <c r="H57" s="95" t="n">
        <v>0.56</v>
      </c>
      <c r="I57" s="95" t="n">
        <v>11.79</v>
      </c>
      <c r="J57" s="96" t="n">
        <v>0.22</v>
      </c>
      <c r="K57" s="95" t="n">
        <f>I57*(1+J57)</f>
        <v>14.383799999999999</v>
      </c>
      <c r="L57" s="96" t="n">
        <v>0.3</v>
      </c>
      <c r="M57" s="95" t="n">
        <f>K57*(1+L57)</f>
        <v>18.69894</v>
      </c>
      <c r="N57" t="str">
        <v>CAMICON · Quito</v>
      </c>
      <c r="O57" t="str">
        <v>Octubre–diciembre 2025</v>
      </c>
      <c r="P57" s="97" t="str">
        <v>REFERENCIAL QUITO · utilidad 30% provisional</v>
      </c>
      <c r="Q57" t="str">
        <v>MOVIMIENTOS DE TIERRAS</v>
      </c>
      <c r="R57" t="str">
        <v>sobreacarreo a mano distancia=100 m</v>
      </c>
    </row>
    <row r="58">
      <c r="A58" t="str">
        <v>CAM-0053</v>
      </c>
      <c r="B58" t="str">
        <v>VARIOS, TRANSPORTE Y MONTAJE</v>
      </c>
      <c r="C58" t="str">
        <v>4,0204</v>
      </c>
      <c r="D58" s="97" t="str">
        <v>TRANSPORTE DE MATERIAL</v>
      </c>
      <c r="E58" t="str">
        <v>m3 km</v>
      </c>
      <c r="F58" s="95" t="n">
        <v>0</v>
      </c>
      <c r="G58" s="95" t="n">
        <v>0.06</v>
      </c>
      <c r="H58" s="95" t="n">
        <v>0.3</v>
      </c>
      <c r="I58" s="95" t="n">
        <v>0.36</v>
      </c>
      <c r="J58" s="96" t="n">
        <v>0.22</v>
      </c>
      <c r="K58" s="95" t="n">
        <f>I58*(1+J58)</f>
        <v>0.4392</v>
      </c>
      <c r="L58" s="96" t="n">
        <v>0.3</v>
      </c>
      <c r="M58" s="95" t="n">
        <f>K58*(1+L58)</f>
        <v>0.57096</v>
      </c>
      <c r="N58" t="str">
        <v>CAMICON · Quito</v>
      </c>
      <c r="O58" t="str">
        <v>Octubre–diciembre 2025</v>
      </c>
      <c r="P58" s="97" t="str">
        <v>REFERENCIAL QUITO · utilidad 30% provisional</v>
      </c>
      <c r="Q58" t="str">
        <v>MOVIMIENTOS DE TIERRAS</v>
      </c>
      <c r="R58" t="str">
        <v>transporte de material</v>
      </c>
    </row>
    <row r="59">
      <c r="A59" t="str">
        <v>CAM-0054</v>
      </c>
      <c r="B59" t="str">
        <v>OBRA CIVIL</v>
      </c>
      <c r="C59" t="str">
        <v>5,0101</v>
      </c>
      <c r="D59" s="97" t="str">
        <v>HORMIGÓN CICLÓPEO 60% H.S Y 40% PIEDRA F'C= 210 KG/CM2</v>
      </c>
      <c r="E59" t="str">
        <v>m³</v>
      </c>
      <c r="F59" s="95" t="n">
        <v>56.07</v>
      </c>
      <c r="G59" s="95" t="n">
        <v>36.32</v>
      </c>
      <c r="H59" s="95" t="n">
        <v>9.63</v>
      </c>
      <c r="I59" s="95" t="n">
        <v>102.02</v>
      </c>
      <c r="J59" s="96" t="n">
        <v>0.22</v>
      </c>
      <c r="K59" s="95" t="n">
        <f>I59*(1+J59)</f>
        <v>124.4644</v>
      </c>
      <c r="L59" s="96" t="n">
        <v>0.3</v>
      </c>
      <c r="M59" s="95" t="n">
        <f>K59*(1+L59)</f>
        <v>161.80372</v>
      </c>
      <c r="N59" t="str">
        <v>CAMICON · Quito</v>
      </c>
      <c r="O59" t="str">
        <v>Octubre–diciembre 2025</v>
      </c>
      <c r="P59" s="97" t="str">
        <v>REFERENCIAL QUITO · utilidad 30% provisional</v>
      </c>
      <c r="Q59" t="str">
        <v>ESTRUCTURA</v>
      </c>
      <c r="R59" t="str">
        <v>hormigon ciclopeo 60% h.s y 40% piedra f'c= 210 kg/cm2</v>
      </c>
    </row>
    <row r="60">
      <c r="A60" t="str">
        <v>CAM-0055</v>
      </c>
      <c r="B60" t="str">
        <v>OBRA CIVIL</v>
      </c>
      <c r="C60" t="str">
        <v>5,0102</v>
      </c>
      <c r="D60" s="97" t="str">
        <v>HORMIGÓN PREMEZCLADO F'C= 180 KG/CM2</v>
      </c>
      <c r="E60" t="str">
        <v>m³</v>
      </c>
      <c r="F60" s="95" t="n">
        <v>87.91</v>
      </c>
      <c r="G60" s="95" t="n">
        <v>25.15</v>
      </c>
      <c r="H60" s="95" t="n">
        <v>3.29</v>
      </c>
      <c r="I60" s="95" t="n">
        <v>116.35</v>
      </c>
      <c r="J60" s="96" t="n">
        <v>0.22</v>
      </c>
      <c r="K60" s="95" t="n">
        <f>I60*(1+J60)</f>
        <v>141.947</v>
      </c>
      <c r="L60" s="96" t="n">
        <v>0.3</v>
      </c>
      <c r="M60" s="95" t="n">
        <f>K60*(1+L60)</f>
        <v>184.5311</v>
      </c>
      <c r="N60" t="str">
        <v>CAMICON · Quito</v>
      </c>
      <c r="O60" t="str">
        <v>Octubre–diciembre 2025</v>
      </c>
      <c r="P60" s="97" t="str">
        <v>REFERENCIAL QUITO · utilidad 30% provisional</v>
      </c>
      <c r="Q60" t="str">
        <v>ESTRUCTURA</v>
      </c>
      <c r="R60" t="str">
        <v>hormigon premezclado f'c= 180 kg/cm2</v>
      </c>
    </row>
    <row r="61">
      <c r="A61" t="str">
        <v>CAM-0056</v>
      </c>
      <c r="B61" t="str">
        <v>OBRA CIVIL</v>
      </c>
      <c r="C61" t="str">
        <v>5,0103</v>
      </c>
      <c r="D61" s="97" t="str">
        <v>HORMIGÓN PREMEZCLADO F'C= 210 KG/CM2</v>
      </c>
      <c r="E61" t="str">
        <v>m³</v>
      </c>
      <c r="F61" s="95" t="n">
        <v>91.34</v>
      </c>
      <c r="G61" s="95" t="n">
        <v>25.15</v>
      </c>
      <c r="H61" s="95" t="n">
        <v>3.29</v>
      </c>
      <c r="I61" s="95" t="n">
        <v>119.78</v>
      </c>
      <c r="J61" s="96" t="n">
        <v>0.22</v>
      </c>
      <c r="K61" s="95" t="n">
        <f>I61*(1+J61)</f>
        <v>146.1316</v>
      </c>
      <c r="L61" s="96" t="n">
        <v>0.3</v>
      </c>
      <c r="M61" s="95" t="n">
        <f>K61*(1+L61)</f>
        <v>189.97108</v>
      </c>
      <c r="N61" t="str">
        <v>CAMICON · Quito</v>
      </c>
      <c r="O61" t="str">
        <v>Octubre–diciembre 2025</v>
      </c>
      <c r="P61" s="97" t="str">
        <v>REFERENCIAL QUITO · utilidad 30% provisional</v>
      </c>
      <c r="Q61" t="str">
        <v>ESTRUCTURA</v>
      </c>
      <c r="R61" t="str">
        <v>hormigon premezclado f'c= 210 kg/cm2</v>
      </c>
    </row>
    <row r="62">
      <c r="A62" t="str">
        <v>CAM-0057</v>
      </c>
      <c r="B62" t="str">
        <v>OBRA CIVIL</v>
      </c>
      <c r="C62" t="str">
        <v>5,0104</v>
      </c>
      <c r="D62" s="97" t="str">
        <v>HORMIGÓN PREMEZCLADO F'C= 240 KG/CM2</v>
      </c>
      <c r="E62" t="str">
        <v>m³</v>
      </c>
      <c r="F62" s="95" t="n">
        <v>93.71</v>
      </c>
      <c r="G62" s="95" t="n">
        <v>25.15</v>
      </c>
      <c r="H62" s="95" t="n">
        <v>3.29</v>
      </c>
      <c r="I62" s="95" t="n">
        <v>122.15</v>
      </c>
      <c r="J62" s="96" t="n">
        <v>0.22</v>
      </c>
      <c r="K62" s="95" t="n">
        <f>I62*(1+J62)</f>
        <v>149.023</v>
      </c>
      <c r="L62" s="96" t="n">
        <v>0.3</v>
      </c>
      <c r="M62" s="95" t="n">
        <f>K62*(1+L62)</f>
        <v>193.72990000000001</v>
      </c>
      <c r="N62" t="str">
        <v>CAMICON · Quito</v>
      </c>
      <c r="O62" t="str">
        <v>Octubre–diciembre 2025</v>
      </c>
      <c r="P62" s="97" t="str">
        <v>REFERENCIAL QUITO · utilidad 30% provisional</v>
      </c>
      <c r="Q62" t="str">
        <v>ESTRUCTURA</v>
      </c>
      <c r="R62" t="str">
        <v>hormigon premezclado f'c= 240 kg/cm2</v>
      </c>
    </row>
    <row r="63">
      <c r="A63" t="str">
        <v>CAM-0058</v>
      </c>
      <c r="B63" t="str">
        <v>OBRA CIVIL</v>
      </c>
      <c r="C63" t="str">
        <v>5,0105</v>
      </c>
      <c r="D63" s="97" t="str">
        <v>HORMIGÓN PREMEZCLADO F'C= 280 KG/CM2</v>
      </c>
      <c r="E63" t="str">
        <v>m³</v>
      </c>
      <c r="F63" s="95" t="n">
        <v>106.54</v>
      </c>
      <c r="G63" s="95" t="n">
        <v>25.15</v>
      </c>
      <c r="H63" s="95" t="n">
        <v>3.29</v>
      </c>
      <c r="I63" s="95" t="n">
        <v>134.98</v>
      </c>
      <c r="J63" s="96" t="n">
        <v>0.22</v>
      </c>
      <c r="K63" s="95" t="n">
        <f>I63*(1+J63)</f>
        <v>164.67559999999997</v>
      </c>
      <c r="L63" s="96" t="n">
        <v>0.3</v>
      </c>
      <c r="M63" s="95" t="n">
        <f>K63*(1+L63)</f>
        <v>214.07827999999998</v>
      </c>
      <c r="N63" t="str">
        <v>CAMICON · Quito</v>
      </c>
      <c r="O63" t="str">
        <v>Octubre–diciembre 2025</v>
      </c>
      <c r="P63" s="97" t="str">
        <v>REFERENCIAL QUITO · utilidad 30% provisional</v>
      </c>
      <c r="Q63" t="str">
        <v>ESTRUCTURA</v>
      </c>
      <c r="R63" t="str">
        <v>hormigon premezclado f'c= 280 kg/cm2</v>
      </c>
    </row>
    <row r="64">
      <c r="A64" t="str">
        <v>CAM-0059</v>
      </c>
      <c r="B64" t="str">
        <v>OBRA CIVIL</v>
      </c>
      <c r="C64" t="str">
        <v>5,0106</v>
      </c>
      <c r="D64" s="97" t="str">
        <v>HORMIGÓN SIMPLE CADENAS F'C= 210 KG/CM2, NO INC. ENCOFRADO</v>
      </c>
      <c r="E64" t="str">
        <v>m³</v>
      </c>
      <c r="F64" s="95" t="n">
        <v>83.64</v>
      </c>
      <c r="G64" s="95" t="n">
        <v>38.69</v>
      </c>
      <c r="H64" s="95" t="n">
        <v>9.74</v>
      </c>
      <c r="I64" s="95" t="n">
        <v>132.07</v>
      </c>
      <c r="J64" s="96" t="n">
        <v>0.22</v>
      </c>
      <c r="K64" s="95" t="n">
        <f>I64*(1+J64)</f>
        <v>161.12539999999998</v>
      </c>
      <c r="L64" s="96" t="n">
        <v>0.3</v>
      </c>
      <c r="M64" s="95" t="n">
        <f>K64*(1+L64)</f>
        <v>209.46302</v>
      </c>
      <c r="N64" t="str">
        <v>CAMICON · Quito</v>
      </c>
      <c r="O64" t="str">
        <v>Octubre–diciembre 2025</v>
      </c>
      <c r="P64" s="97" t="str">
        <v>REFERENCIAL QUITO · utilidad 30% provisional</v>
      </c>
      <c r="Q64" t="str">
        <v>ESTRUCTURA</v>
      </c>
      <c r="R64" t="str">
        <v>hormigon simple cadenas f'c= 210 kg/cm2, no inc. encofrado</v>
      </c>
    </row>
    <row r="65">
      <c r="A65" t="str">
        <v>CAM-0060</v>
      </c>
      <c r="B65" t="str">
        <v>OBRA CIVIL</v>
      </c>
      <c r="C65" t="str">
        <v>5,0107</v>
      </c>
      <c r="D65" s="97" t="str">
        <v>HORMIGÓN SIMPLE COLUMNAS F'C= 210 KG/CM2, NO INC. ENCOFRADO</v>
      </c>
      <c r="E65" t="str">
        <v>m³</v>
      </c>
      <c r="F65" s="95" t="n">
        <v>83.64</v>
      </c>
      <c r="G65" s="95" t="n">
        <v>45.98</v>
      </c>
      <c r="H65" s="95" t="n">
        <v>11.72</v>
      </c>
      <c r="I65" s="95" t="n">
        <v>141.34</v>
      </c>
      <c r="J65" s="96" t="n">
        <v>0.22</v>
      </c>
      <c r="K65" s="95" t="n">
        <f>I65*(1+J65)</f>
        <v>172.4348</v>
      </c>
      <c r="L65" s="96" t="n">
        <v>0.3</v>
      </c>
      <c r="M65" s="95" t="n">
        <f>K65*(1+L65)</f>
        <v>224.16524</v>
      </c>
      <c r="N65" t="str">
        <v>CAMICON · Quito</v>
      </c>
      <c r="O65" t="str">
        <v>Octubre–diciembre 2025</v>
      </c>
      <c r="P65" s="97" t="str">
        <v>REFERENCIAL QUITO · utilidad 30% provisional</v>
      </c>
      <c r="Q65" t="str">
        <v>ESTRUCTURA</v>
      </c>
      <c r="R65" t="str">
        <v>hormigon simple columnas f'c= 210 kg/cm2, no inc. encofrado</v>
      </c>
    </row>
    <row r="66">
      <c r="A66" t="str">
        <v>CAM-0061</v>
      </c>
      <c r="B66" t="str">
        <v>OBRA CIVIL</v>
      </c>
      <c r="C66" t="str">
        <v>5,0108</v>
      </c>
      <c r="D66" s="97" t="str">
        <v>HORMIGÓN SIMPLE COLUMNAS F'C= 240 KG/CM2, NO INC. ENCOFRADO</v>
      </c>
      <c r="E66" t="str">
        <v>m³</v>
      </c>
      <c r="F66" s="95" t="n">
        <v>88.43</v>
      </c>
      <c r="G66" s="95" t="n">
        <v>45.98</v>
      </c>
      <c r="H66" s="95" t="n">
        <v>11.72</v>
      </c>
      <c r="I66" s="95" t="n">
        <v>146.13</v>
      </c>
      <c r="J66" s="96" t="n">
        <v>0.22</v>
      </c>
      <c r="K66" s="95" t="n">
        <f>I66*(1+J66)</f>
        <v>178.27859999999998</v>
      </c>
      <c r="L66" s="96" t="n">
        <v>0.3</v>
      </c>
      <c r="M66" s="95" t="n">
        <f>K66*(1+L66)</f>
        <v>231.76217999999997</v>
      </c>
      <c r="N66" t="str">
        <v>CAMICON · Quito</v>
      </c>
      <c r="O66" t="str">
        <v>Octubre–diciembre 2025</v>
      </c>
      <c r="P66" s="97" t="str">
        <v>REFERENCIAL QUITO · utilidad 30% provisional</v>
      </c>
      <c r="Q66" t="str">
        <v>ESTRUCTURA</v>
      </c>
      <c r="R66" t="str">
        <v>hormigon simple columnas f'c= 240 kg/cm2, no inc. encofrado</v>
      </c>
    </row>
    <row r="67">
      <c r="A67" t="str">
        <v>CAM-0062</v>
      </c>
      <c r="B67" t="str">
        <v>OBRA CIVIL</v>
      </c>
      <c r="C67" t="str">
        <v>5,0109</v>
      </c>
      <c r="D67" s="97" t="str">
        <v>HORMIGÓN SIMPLE COLUMNAS F'C= 280 KG/CM2, NO INC. ENCOFRADO</v>
      </c>
      <c r="E67" t="str">
        <v>m³</v>
      </c>
      <c r="F67" s="95" t="n">
        <v>91.28</v>
      </c>
      <c r="G67" s="95" t="n">
        <v>45.98</v>
      </c>
      <c r="H67" s="95" t="n">
        <v>11.72</v>
      </c>
      <c r="I67" s="95" t="n">
        <v>148.98</v>
      </c>
      <c r="J67" s="96" t="n">
        <v>0.22</v>
      </c>
      <c r="K67" s="95" t="n">
        <f>I67*(1+J67)</f>
        <v>181.7556</v>
      </c>
      <c r="L67" s="96" t="n">
        <v>0.3</v>
      </c>
      <c r="M67" s="95" t="n">
        <f>K67*(1+L67)</f>
        <v>236.28228</v>
      </c>
      <c r="N67" t="str">
        <v>CAMICON · Quito</v>
      </c>
      <c r="O67" t="str">
        <v>Octubre–diciembre 2025</v>
      </c>
      <c r="P67" s="97" t="str">
        <v>REFERENCIAL QUITO · utilidad 30% provisional</v>
      </c>
      <c r="Q67" t="str">
        <v>ESTRUCTURA</v>
      </c>
      <c r="R67" t="str">
        <v>hormigon simple columnas f'c= 280 kg/cm2, no inc. encofrado</v>
      </c>
    </row>
    <row r="68">
      <c r="A68" t="str">
        <v>CAM-0063</v>
      </c>
      <c r="B68" t="str">
        <v>OBRA CIVIL</v>
      </c>
      <c r="C68" t="str">
        <v>5,0110</v>
      </c>
      <c r="D68" s="97" t="str">
        <v>HORMIGÓN SIMPLE ESCALERAS, F´C= 210 KG/CM2, NO INC. ENCOFRADO</v>
      </c>
      <c r="E68" t="str">
        <v>m³</v>
      </c>
      <c r="F68" s="95" t="n">
        <v>83.64</v>
      </c>
      <c r="G68" s="95" t="n">
        <v>42.57</v>
      </c>
      <c r="H68" s="95" t="n">
        <v>11.82</v>
      </c>
      <c r="I68" s="95" t="n">
        <v>138.03</v>
      </c>
      <c r="J68" s="96" t="n">
        <v>0.22</v>
      </c>
      <c r="K68" s="95" t="n">
        <f>I68*(1+J68)</f>
        <v>168.3966</v>
      </c>
      <c r="L68" s="96" t="n">
        <v>0.3</v>
      </c>
      <c r="M68" s="95" t="n">
        <f>K68*(1+L68)</f>
        <v>218.91558</v>
      </c>
      <c r="N68" t="str">
        <v>CAMICON · Quito</v>
      </c>
      <c r="O68" t="str">
        <v>Octubre–diciembre 2025</v>
      </c>
      <c r="P68" s="97" t="str">
        <v>REFERENCIAL QUITO · utilidad 30% provisional</v>
      </c>
      <c r="Q68" t="str">
        <v>ESTRUCTURA</v>
      </c>
      <c r="R68" t="str">
        <v>hormigon simple escaleras, f´c= 210 kg/cm2, no inc. encofrado</v>
      </c>
    </row>
    <row r="69">
      <c r="A69" t="str">
        <v>CAM-0064</v>
      </c>
      <c r="B69" t="str">
        <v>OBRA CIVIL</v>
      </c>
      <c r="C69" t="str">
        <v>5,0111</v>
      </c>
      <c r="D69" s="97" t="str">
        <v>HORMIGÓN SIMPLE ESCALERAS, F´C= 240 KG/CM2, NO INC. ENCOFRADO</v>
      </c>
      <c r="E69" t="str">
        <v>m³</v>
      </c>
      <c r="F69" s="95" t="n">
        <v>88.43</v>
      </c>
      <c r="G69" s="95" t="n">
        <v>42.57</v>
      </c>
      <c r="H69" s="95" t="n">
        <v>11.82</v>
      </c>
      <c r="I69" s="95" t="n">
        <v>142.82</v>
      </c>
      <c r="J69" s="96" t="n">
        <v>0.22</v>
      </c>
      <c r="K69" s="95" t="n">
        <f>I69*(1+J69)</f>
        <v>174.2404</v>
      </c>
      <c r="L69" s="96" t="n">
        <v>0.3</v>
      </c>
      <c r="M69" s="95" t="n">
        <f>K69*(1+L69)</f>
        <v>226.51252</v>
      </c>
      <c r="N69" t="str">
        <v>CAMICON · Quito</v>
      </c>
      <c r="O69" t="str">
        <v>Octubre–diciembre 2025</v>
      </c>
      <c r="P69" s="97" t="str">
        <v>REFERENCIAL QUITO · utilidad 30% provisional</v>
      </c>
      <c r="Q69" t="str">
        <v>ESTRUCTURA</v>
      </c>
      <c r="R69" t="str">
        <v>hormigon simple escaleras, f´c= 240 kg/cm2, no inc. encofrado</v>
      </c>
    </row>
    <row r="70">
      <c r="A70" t="str">
        <v>CAM-0065</v>
      </c>
      <c r="B70" t="str">
        <v>OBRA CIVIL</v>
      </c>
      <c r="C70" t="str">
        <v>5,0112</v>
      </c>
      <c r="D70" s="97" t="str">
        <v>HORMIGÓN SIMPLE ESCALERAS, F´C= 280 KG/CM2, NO INC. ENCOFRADO</v>
      </c>
      <c r="E70" t="str">
        <v>m³</v>
      </c>
      <c r="F70" s="95" t="n">
        <v>91.28</v>
      </c>
      <c r="G70" s="95" t="n">
        <v>42.57</v>
      </c>
      <c r="H70" s="95" t="n">
        <v>11.82</v>
      </c>
      <c r="I70" s="95" t="n">
        <v>145.67</v>
      </c>
      <c r="J70" s="96" t="n">
        <v>0.22</v>
      </c>
      <c r="K70" s="95" t="n">
        <f>I70*(1+J70)</f>
        <v>177.71739999999997</v>
      </c>
      <c r="L70" s="96" t="n">
        <v>0.3</v>
      </c>
      <c r="M70" s="95" t="n">
        <f>K70*(1+L70)</f>
        <v>231.03261999999998</v>
      </c>
      <c r="N70" t="str">
        <v>CAMICON · Quito</v>
      </c>
      <c r="O70" t="str">
        <v>Octubre–diciembre 2025</v>
      </c>
      <c r="P70" s="97" t="str">
        <v>REFERENCIAL QUITO · utilidad 30% provisional</v>
      </c>
      <c r="Q70" t="str">
        <v>ESTRUCTURA</v>
      </c>
      <c r="R70" t="str">
        <v>hormigon simple escaleras, f´c= 280 kg/cm2, no inc. encofrado</v>
      </c>
    </row>
    <row r="71">
      <c r="A71" t="str">
        <v>CAM-0066</v>
      </c>
      <c r="B71" t="str">
        <v>OBRA CIVIL</v>
      </c>
      <c r="C71" t="str">
        <v>5,0113</v>
      </c>
      <c r="D71" s="97" t="str">
        <v>HORMIGÓN SIMPLE LOSA ALIVIANADA E=20CM, F´C= 210 KG/CM2, NO INCLUYE ENCOFRADO</v>
      </c>
      <c r="E71" t="str">
        <v>m²</v>
      </c>
      <c r="F71" s="95" t="n">
        <v>21.2</v>
      </c>
      <c r="G71" s="95" t="n">
        <v>8.08</v>
      </c>
      <c r="H71" s="95" t="n">
        <v>4.62</v>
      </c>
      <c r="I71" s="95" t="n">
        <v>33.9</v>
      </c>
      <c r="J71" s="96" t="n">
        <v>0.22</v>
      </c>
      <c r="K71" s="95" t="n">
        <f>I71*(1+J71)</f>
        <v>41.358</v>
      </c>
      <c r="L71" s="96" t="n">
        <v>0.3</v>
      </c>
      <c r="M71" s="95" t="n">
        <f>K71*(1+L71)</f>
        <v>53.7654</v>
      </c>
      <c r="N71" t="str">
        <v>CAMICON · Quito</v>
      </c>
      <c r="O71" t="str">
        <v>Octubre–diciembre 2025</v>
      </c>
      <c r="P71" s="97" t="str">
        <v>REFERENCIAL QUITO · utilidad 30% provisional</v>
      </c>
      <c r="Q71" t="str">
        <v>ESTRUCTURA</v>
      </c>
      <c r="R71" t="str">
        <v>hormigon simple losa alivianada e=20cm, f´c= 210 kg/cm2, no incluye encofrado</v>
      </c>
    </row>
    <row r="72">
      <c r="A72" t="str">
        <v>CAM-0067</v>
      </c>
      <c r="B72" t="str">
        <v>OBRA CIVIL</v>
      </c>
      <c r="C72" t="str">
        <v>5,0114</v>
      </c>
      <c r="D72" s="97" t="str">
        <v>HORMIGÓN SIMPLE LOSA H= 8 CM SOBRE DECK METÁLICO 0.65 MM, H. PREMEZ. F´C= 210 KG/CM2, INCL. MALLA DE TEMPERATURA</v>
      </c>
      <c r="E72" t="str">
        <v>m²</v>
      </c>
      <c r="F72" s="95" t="n">
        <v>28.86</v>
      </c>
      <c r="G72" s="95" t="n">
        <v>15.12</v>
      </c>
      <c r="H72" s="95" t="n">
        <v>2.96</v>
      </c>
      <c r="I72" s="95" t="n">
        <v>46.94</v>
      </c>
      <c r="J72" s="96" t="n">
        <v>0.22</v>
      </c>
      <c r="K72" s="95" t="n">
        <f>I72*(1+J72)</f>
        <v>57.266799999999996</v>
      </c>
      <c r="L72" s="96" t="n">
        <v>0.3</v>
      </c>
      <c r="M72" s="95" t="n">
        <f>K72*(1+L72)</f>
        <v>74.44684</v>
      </c>
      <c r="N72" t="str">
        <v>CAMICON · Quito</v>
      </c>
      <c r="O72" t="str">
        <v>Octubre–diciembre 2025</v>
      </c>
      <c r="P72" s="97" t="str">
        <v>REFERENCIAL QUITO · utilidad 30% provisional</v>
      </c>
      <c r="Q72" t="str">
        <v>ESTRUCTURA</v>
      </c>
      <c r="R72" t="str">
        <v>hormigon simple losa h= 8 cm sobre deck metalico 0.65 mm, h. premez. f´c= 210 kg/cm2, incl. malla de temperatura</v>
      </c>
    </row>
    <row r="73">
      <c r="A73" t="str">
        <v>CAM-0068</v>
      </c>
      <c r="B73" t="str">
        <v>OBRA CIVIL</v>
      </c>
      <c r="C73" t="str">
        <v>5,0115</v>
      </c>
      <c r="D73" s="97" t="str">
        <v>HORMIGÓN SIMPLE LOSA H= 8 CM SOBRE DECK METÁLICO 0.65 MM, H. PREMEZ. F´C= 240 KG/CM2, INCL. MALLA DE TEMPERATURA</v>
      </c>
      <c r="E73" t="str">
        <v>m²</v>
      </c>
      <c r="F73" s="95" t="n">
        <v>28.99</v>
      </c>
      <c r="G73" s="95" t="n">
        <v>15.12</v>
      </c>
      <c r="H73" s="95" t="n">
        <v>2.96</v>
      </c>
      <c r="I73" s="95" t="n">
        <v>47.07</v>
      </c>
      <c r="J73" s="96" t="n">
        <v>0.22</v>
      </c>
      <c r="K73" s="95" t="n">
        <f>I73*(1+J73)</f>
        <v>57.425399999999996</v>
      </c>
      <c r="L73" s="96" t="n">
        <v>0.3</v>
      </c>
      <c r="M73" s="95" t="n">
        <f>K73*(1+L73)</f>
        <v>74.65302</v>
      </c>
      <c r="N73" t="str">
        <v>CAMICON · Quito</v>
      </c>
      <c r="O73" t="str">
        <v>Octubre–diciembre 2025</v>
      </c>
      <c r="P73" s="97" t="str">
        <v>REFERENCIAL QUITO · utilidad 30% provisional</v>
      </c>
      <c r="Q73" t="str">
        <v>ESTRUCTURA</v>
      </c>
      <c r="R73" t="str">
        <v>hormigon simple losa h= 8 cm sobre deck metalico 0.65 mm, h. premez. f´c= 240 kg/cm2, incl. malla de temperatura</v>
      </c>
    </row>
    <row r="74">
      <c r="A74" t="str">
        <v>CAM-0069</v>
      </c>
      <c r="B74" t="str">
        <v>OBRA CIVIL</v>
      </c>
      <c r="C74" t="str">
        <v>5,0116</v>
      </c>
      <c r="D74" s="97" t="str">
        <v>HORMIGÓN SIMPLE LOSA H= 8 CM SOBRE DECK METÁLICO 0.65 MM, H. PREMEZ. F´C= 280 KG/CM2, INCL. MALLA DE TEMPERATURA</v>
      </c>
      <c r="E74" t="str">
        <v>m²</v>
      </c>
      <c r="F74" s="95" t="n">
        <v>29.68</v>
      </c>
      <c r="G74" s="95" t="n">
        <v>15.12</v>
      </c>
      <c r="H74" s="95" t="n">
        <v>2.96</v>
      </c>
      <c r="I74" s="95" t="n">
        <v>47.76</v>
      </c>
      <c r="J74" s="96" t="n">
        <v>0.22</v>
      </c>
      <c r="K74" s="95" t="n">
        <f>I74*(1+J74)</f>
        <v>58.267199999999995</v>
      </c>
      <c r="L74" s="96" t="n">
        <v>0.3</v>
      </c>
      <c r="M74" s="95" t="n">
        <f>K74*(1+L74)</f>
        <v>75.74736</v>
      </c>
      <c r="N74" t="str">
        <v>CAMICON · Quito</v>
      </c>
      <c r="O74" t="str">
        <v>Octubre–diciembre 2025</v>
      </c>
      <c r="P74" s="97" t="str">
        <v>REFERENCIAL QUITO · utilidad 30% provisional</v>
      </c>
      <c r="Q74" t="str">
        <v>ESTRUCTURA</v>
      </c>
      <c r="R74" t="str">
        <v>hormigon simple losa h= 8 cm sobre deck metalico 0.65 mm, h. premez. f´c= 280 kg/cm2, incl. malla de temperatura</v>
      </c>
    </row>
    <row r="75">
      <c r="A75" t="str">
        <v>CAM-0070</v>
      </c>
      <c r="B75" t="str">
        <v>OBRA CIVIL</v>
      </c>
      <c r="C75" t="str">
        <v>5,0117</v>
      </c>
      <c r="D75" s="97" t="str">
        <v>HORMIGÓN SIMPLE LOSA MACIZA E= 15 CM, F´C= 210 KG/CM2, NO INCLUYE ENCOFRADO</v>
      </c>
      <c r="E75" t="str">
        <v>m³</v>
      </c>
      <c r="F75" s="95" t="n">
        <v>97.97</v>
      </c>
      <c r="G75" s="95" t="n">
        <v>39.85</v>
      </c>
      <c r="H75" s="95" t="n">
        <v>16.47</v>
      </c>
      <c r="I75" s="95" t="n">
        <v>154.29</v>
      </c>
      <c r="J75" s="96" t="n">
        <v>0.22</v>
      </c>
      <c r="K75" s="95" t="n">
        <f>I75*(1+J75)</f>
        <v>188.23379999999997</v>
      </c>
      <c r="L75" s="96" t="n">
        <v>0.3</v>
      </c>
      <c r="M75" s="95" t="n">
        <f>K75*(1+L75)</f>
        <v>244.70393999999996</v>
      </c>
      <c r="N75" t="str">
        <v>CAMICON · Quito</v>
      </c>
      <c r="O75" t="str">
        <v>Octubre–diciembre 2025</v>
      </c>
      <c r="P75" s="97" t="str">
        <v>REFERENCIAL QUITO · utilidad 30% provisional</v>
      </c>
      <c r="Q75" t="str">
        <v>ESTRUCTURA</v>
      </c>
      <c r="R75" t="str">
        <v>hormigon simple losa maciza e= 15 cm, f´c= 210 kg/cm2, no incluye encofrado</v>
      </c>
    </row>
    <row r="76">
      <c r="A76" t="str">
        <v>CAM-0071</v>
      </c>
      <c r="B76" t="str">
        <v>OBRA CIVIL</v>
      </c>
      <c r="C76" t="str">
        <v>5,0118</v>
      </c>
      <c r="D76" s="97" t="str">
        <v>HORMIGÓN SIMPLE LOSA MACIZA E= 15 CM, F´C= 240 KG/CM2, NO INCLUYE ENCOFRADO</v>
      </c>
      <c r="E76" t="str">
        <v>m³</v>
      </c>
      <c r="F76" s="95" t="n">
        <v>103.93</v>
      </c>
      <c r="G76" s="95" t="n">
        <v>39.85</v>
      </c>
      <c r="H76" s="95" t="n">
        <v>16.47</v>
      </c>
      <c r="I76" s="95" t="n">
        <v>160.25</v>
      </c>
      <c r="J76" s="96" t="n">
        <v>0.22</v>
      </c>
      <c r="K76" s="95" t="n">
        <f>I76*(1+J76)</f>
        <v>195.505</v>
      </c>
      <c r="L76" s="96" t="n">
        <v>0.3</v>
      </c>
      <c r="M76" s="95" t="n">
        <f>K76*(1+L76)</f>
        <v>254.1565</v>
      </c>
      <c r="N76" t="str">
        <v>CAMICON · Quito</v>
      </c>
      <c r="O76" t="str">
        <v>Octubre–diciembre 2025</v>
      </c>
      <c r="P76" s="97" t="str">
        <v>REFERENCIAL QUITO · utilidad 30% provisional</v>
      </c>
      <c r="Q76" t="str">
        <v>ESTRUCTURA</v>
      </c>
      <c r="R76" t="str">
        <v>hormigon simple losa maciza e= 15 cm, f´c= 240 kg/cm2, no incluye encofrado</v>
      </c>
    </row>
    <row r="77">
      <c r="A77" t="str">
        <v>CAM-0072</v>
      </c>
      <c r="B77" t="str">
        <v>OBRA CIVIL</v>
      </c>
      <c r="C77" t="str">
        <v>5,0119</v>
      </c>
      <c r="D77" s="97" t="str">
        <v>HORMIGÓN SIMPLE LOSA MACIZA E= 15 CM, F´C= 280 KG/CM2, NO INCLUYE ENCOFRADO</v>
      </c>
      <c r="E77" t="str">
        <v>m³</v>
      </c>
      <c r="F77" s="95" t="n">
        <v>107.47</v>
      </c>
      <c r="G77" s="95" t="n">
        <v>39.85</v>
      </c>
      <c r="H77" s="95" t="n">
        <v>16.47</v>
      </c>
      <c r="I77" s="95" t="n">
        <v>163.79</v>
      </c>
      <c r="J77" s="96" t="n">
        <v>0.22</v>
      </c>
      <c r="K77" s="95" t="n">
        <f>I77*(1+J77)</f>
        <v>199.82379999999998</v>
      </c>
      <c r="L77" s="96" t="n">
        <v>0.3</v>
      </c>
      <c r="M77" s="95" t="n">
        <f>K77*(1+L77)</f>
        <v>259.77094</v>
      </c>
      <c r="N77" t="str">
        <v>CAMICON · Quito</v>
      </c>
      <c r="O77" t="str">
        <v>Octubre–diciembre 2025</v>
      </c>
      <c r="P77" s="97" t="str">
        <v>REFERENCIAL QUITO · utilidad 30% provisional</v>
      </c>
      <c r="Q77" t="str">
        <v>ESTRUCTURA</v>
      </c>
      <c r="R77" t="str">
        <v>hormigon simple losa maciza e= 15 cm, f´c= 280 kg/cm2, no incluye encofrado</v>
      </c>
    </row>
    <row r="78">
      <c r="A78" t="str">
        <v>CAM-0073</v>
      </c>
      <c r="B78" t="str">
        <v>OBRA CIVIL</v>
      </c>
      <c r="C78" t="str">
        <v>5,0120</v>
      </c>
      <c r="D78" s="97" t="str">
        <v>HORMIGÓN SIMPLE LOSA MACIZA DE 20 CM, F´C= 210 KG/CM2, NO INC. ENCOFRADO</v>
      </c>
      <c r="E78" t="str">
        <v>m³</v>
      </c>
      <c r="F78" s="95" t="n">
        <v>97.97</v>
      </c>
      <c r="G78" s="95" t="n">
        <v>40.05</v>
      </c>
      <c r="H78" s="95" t="n">
        <v>16.54</v>
      </c>
      <c r="I78" s="95" t="n">
        <v>154.56</v>
      </c>
      <c r="J78" s="96" t="n">
        <v>0.22</v>
      </c>
      <c r="K78" s="95" t="n">
        <f>I78*(1+J78)</f>
        <v>188.5632</v>
      </c>
      <c r="L78" s="96" t="n">
        <v>0.3</v>
      </c>
      <c r="M78" s="95" t="n">
        <f>K78*(1+L78)</f>
        <v>245.13216</v>
      </c>
      <c r="N78" t="str">
        <v>CAMICON · Quito</v>
      </c>
      <c r="O78" t="str">
        <v>Octubre–diciembre 2025</v>
      </c>
      <c r="P78" s="97" t="str">
        <v>REFERENCIAL QUITO · utilidad 30% provisional</v>
      </c>
      <c r="Q78" t="str">
        <v>ESTRUCTURA</v>
      </c>
      <c r="R78" t="str">
        <v>hormigon simple losa maciza de 20 cm, f´c= 210 kg/cm2, no inc. encofrado</v>
      </c>
    </row>
    <row r="79">
      <c r="A79" t="str">
        <v>CAM-0074</v>
      </c>
      <c r="B79" t="str">
        <v>OBRA CIVIL</v>
      </c>
      <c r="C79" t="str">
        <v>5,0121</v>
      </c>
      <c r="D79" s="97" t="str">
        <v>HORMIGÓN SIMPLE LOSA MACIZA DE 20 CM, F´C= 240 KG/CM2, NO INC. ENCOFRADO</v>
      </c>
      <c r="E79" t="str">
        <v>m³</v>
      </c>
      <c r="F79" s="95" t="n">
        <v>103.93</v>
      </c>
      <c r="G79" s="95" t="n">
        <v>40.05</v>
      </c>
      <c r="H79" s="95" t="n">
        <v>16.54</v>
      </c>
      <c r="I79" s="95" t="n">
        <v>160.52</v>
      </c>
      <c r="J79" s="96" t="n">
        <v>0.22</v>
      </c>
      <c r="K79" s="95" t="n">
        <f>I79*(1+J79)</f>
        <v>195.83440000000002</v>
      </c>
      <c r="L79" s="96" t="n">
        <v>0.3</v>
      </c>
      <c r="M79" s="95" t="n">
        <f>K79*(1+L79)</f>
        <v>254.58472000000003</v>
      </c>
      <c r="N79" t="str">
        <v>CAMICON · Quito</v>
      </c>
      <c r="O79" t="str">
        <v>Octubre–diciembre 2025</v>
      </c>
      <c r="P79" s="97" t="str">
        <v>REFERENCIAL QUITO · utilidad 30% provisional</v>
      </c>
      <c r="Q79" t="str">
        <v>ESTRUCTURA</v>
      </c>
      <c r="R79" t="str">
        <v>hormigon simple losa maciza de 20 cm, f´c= 240 kg/cm2, no inc. encofrado</v>
      </c>
    </row>
    <row r="80">
      <c r="A80" t="str">
        <v>CAM-0075</v>
      </c>
      <c r="B80" t="str">
        <v>OBRA CIVIL</v>
      </c>
      <c r="C80" t="str">
        <v>5,0122</v>
      </c>
      <c r="D80" s="97" t="str">
        <v>HORMIGÓN SIMPLE LOSA MACIZA DE 20 CM, F´C= 280 KG/CM2, NO INC. ENCOFRADO</v>
      </c>
      <c r="E80" t="str">
        <v>m³</v>
      </c>
      <c r="F80" s="95" t="n">
        <v>107.47</v>
      </c>
      <c r="G80" s="95" t="n">
        <v>40.05</v>
      </c>
      <c r="H80" s="95" t="n">
        <v>16.54</v>
      </c>
      <c r="I80" s="95" t="n">
        <v>164.06</v>
      </c>
      <c r="J80" s="96" t="n">
        <v>0.22</v>
      </c>
      <c r="K80" s="95" t="n">
        <f>I80*(1+J80)</f>
        <v>200.1532</v>
      </c>
      <c r="L80" s="96" t="n">
        <v>0.3</v>
      </c>
      <c r="M80" s="95" t="n">
        <f>K80*(1+L80)</f>
        <v>260.19916</v>
      </c>
      <c r="N80" t="str">
        <v>CAMICON · Quito</v>
      </c>
      <c r="O80" t="str">
        <v>Octubre–diciembre 2025</v>
      </c>
      <c r="P80" s="97" t="str">
        <v>REFERENCIAL QUITO · utilidad 30% provisional</v>
      </c>
      <c r="Q80" t="str">
        <v>ESTRUCTURA</v>
      </c>
      <c r="R80" t="str">
        <v>hormigon simple losa maciza de 20 cm, f´c= 280 kg/cm2, no inc. encofrado</v>
      </c>
    </row>
    <row r="81">
      <c r="A81" t="str">
        <v>CAM-0076</v>
      </c>
      <c r="B81" t="str">
        <v>OBRA CIVIL</v>
      </c>
      <c r="C81" t="str">
        <v>5,0123</v>
      </c>
      <c r="D81" s="97" t="str">
        <v>HORMIGÓN SIMPLE LOSA TAPAGRADA E= 15CM, F´C= 210 KG/CM2, NO INCLUYE ENCOFRADO</v>
      </c>
      <c r="E81" t="str">
        <v>m²</v>
      </c>
      <c r="F81" s="95" t="n">
        <v>13.34</v>
      </c>
      <c r="G81" s="95" t="n">
        <v>12.38</v>
      </c>
      <c r="H81" s="95" t="n">
        <v>3.12</v>
      </c>
      <c r="I81" s="95" t="n">
        <v>28.84</v>
      </c>
      <c r="J81" s="96" t="n">
        <v>0.22</v>
      </c>
      <c r="K81" s="95" t="n">
        <f>I81*(1+J81)</f>
        <v>35.184799999999996</v>
      </c>
      <c r="L81" s="96" t="n">
        <v>0.3</v>
      </c>
      <c r="M81" s="95" t="n">
        <f>K81*(1+L81)</f>
        <v>45.74023999999999</v>
      </c>
      <c r="N81" t="str">
        <v>CAMICON · Quito</v>
      </c>
      <c r="O81" t="str">
        <v>Octubre–diciembre 2025</v>
      </c>
      <c r="P81" s="97" t="str">
        <v>REFERENCIAL QUITO · utilidad 30% provisional</v>
      </c>
      <c r="Q81" t="str">
        <v>ESTRUCTURA</v>
      </c>
      <c r="R81" t="str">
        <v>hormigon simple losa tapagrada e= 15cm, f´c= 210 kg/cm2, no incluye encofrado</v>
      </c>
    </row>
    <row r="82">
      <c r="A82" t="str">
        <v>CAM-0077</v>
      </c>
      <c r="B82" t="str">
        <v>OBRA CIVIL</v>
      </c>
      <c r="C82" t="str">
        <v>5,0124</v>
      </c>
      <c r="D82" s="97" t="str">
        <v>HORMIGÓN SIMPLE MUROS, F´C= 210 KG/CM2, NO INC. ENCOFRADO</v>
      </c>
      <c r="E82" t="str">
        <v>m³</v>
      </c>
      <c r="F82" s="95" t="n">
        <v>83.64</v>
      </c>
      <c r="G82" s="95" t="n">
        <v>42.17</v>
      </c>
      <c r="H82" s="95" t="n">
        <v>10.62</v>
      </c>
      <c r="I82" s="95" t="n">
        <v>136.43</v>
      </c>
      <c r="J82" s="96" t="n">
        <v>0.22</v>
      </c>
      <c r="K82" s="95" t="n">
        <f>I82*(1+J82)</f>
        <v>166.4446</v>
      </c>
      <c r="L82" s="96" t="n">
        <v>0.3</v>
      </c>
      <c r="M82" s="95" t="n">
        <f>K82*(1+L82)</f>
        <v>216.37798</v>
      </c>
      <c r="N82" t="str">
        <v>CAMICON · Quito</v>
      </c>
      <c r="O82" t="str">
        <v>Octubre–diciembre 2025</v>
      </c>
      <c r="P82" s="97" t="str">
        <v>REFERENCIAL QUITO · utilidad 30% provisional</v>
      </c>
      <c r="Q82" t="str">
        <v>ESTRUCTURA</v>
      </c>
      <c r="R82" t="str">
        <v>hormigon simple muros, f´c= 210 kg/cm2, no inc. encofrado</v>
      </c>
    </row>
    <row r="83">
      <c r="A83" t="str">
        <v>CAM-0078</v>
      </c>
      <c r="B83" t="str">
        <v>OBRA CIVIL</v>
      </c>
      <c r="C83" t="str">
        <v>5,0125</v>
      </c>
      <c r="D83" s="97" t="str">
        <v>HORMIGÓN SIMPLE MUROS, F´C= 240 KG/CM2, NO INC. ENCOFRADO</v>
      </c>
      <c r="E83" t="str">
        <v>m³</v>
      </c>
      <c r="F83" s="95" t="n">
        <v>88.43</v>
      </c>
      <c r="G83" s="95" t="n">
        <v>42.17</v>
      </c>
      <c r="H83" s="95" t="n">
        <v>10.62</v>
      </c>
      <c r="I83" s="95" t="n">
        <v>141.22</v>
      </c>
      <c r="J83" s="96" t="n">
        <v>0.22</v>
      </c>
      <c r="K83" s="95" t="n">
        <f>I83*(1+J83)</f>
        <v>172.2884</v>
      </c>
      <c r="L83" s="96" t="n">
        <v>0.3</v>
      </c>
      <c r="M83" s="95" t="n">
        <f>K83*(1+L83)</f>
        <v>223.97492</v>
      </c>
      <c r="N83" t="str">
        <v>CAMICON · Quito</v>
      </c>
      <c r="O83" t="str">
        <v>Octubre–diciembre 2025</v>
      </c>
      <c r="P83" s="97" t="str">
        <v>REFERENCIAL QUITO · utilidad 30% provisional</v>
      </c>
      <c r="Q83" t="str">
        <v>ESTRUCTURA</v>
      </c>
      <c r="R83" t="str">
        <v>hormigon simple muros, f´c= 240 kg/cm2, no inc. encofrado</v>
      </c>
    </row>
    <row r="84">
      <c r="A84" t="str">
        <v>CAM-0079</v>
      </c>
      <c r="B84" t="str">
        <v>OBRA CIVIL</v>
      </c>
      <c r="C84" t="str">
        <v>5,0126</v>
      </c>
      <c r="D84" s="97" t="str">
        <v>HORMIGÓN SIMPLE MUROS, F´C= 280 KG/CM2, NO INC. ENCOFRADO</v>
      </c>
      <c r="E84" t="str">
        <v>m³</v>
      </c>
      <c r="F84" s="95" t="n">
        <v>91.28</v>
      </c>
      <c r="G84" s="95" t="n">
        <v>42.17</v>
      </c>
      <c r="H84" s="95" t="n">
        <v>10.62</v>
      </c>
      <c r="I84" s="95" t="n">
        <v>144.07</v>
      </c>
      <c r="J84" s="96" t="n">
        <v>0.22</v>
      </c>
      <c r="K84" s="95" t="n">
        <f>I84*(1+J84)</f>
        <v>175.7654</v>
      </c>
      <c r="L84" s="96" t="n">
        <v>0.3</v>
      </c>
      <c r="M84" s="95" t="n">
        <f>K84*(1+L84)</f>
        <v>228.49502</v>
      </c>
      <c r="N84" t="str">
        <v>CAMICON · Quito</v>
      </c>
      <c r="O84" t="str">
        <v>Octubre–diciembre 2025</v>
      </c>
      <c r="P84" s="97" t="str">
        <v>REFERENCIAL QUITO · utilidad 30% provisional</v>
      </c>
      <c r="Q84" t="str">
        <v>ESTRUCTURA</v>
      </c>
      <c r="R84" t="str">
        <v>hormigon simple muros, f´c= 280 kg/cm2, no inc. encofrado</v>
      </c>
    </row>
    <row r="85">
      <c r="A85" t="str">
        <v>CAM-0080</v>
      </c>
      <c r="B85" t="str">
        <v>OBRA CIVIL</v>
      </c>
      <c r="C85" t="str">
        <v>5,0127</v>
      </c>
      <c r="D85" s="97" t="str">
        <v>HORMIGÓN SIMPLE PLINTOS F'C= 210 KG/CM2, NO INC. ENCOFRADO</v>
      </c>
      <c r="E85" t="str">
        <v>m³</v>
      </c>
      <c r="F85" s="95" t="n">
        <v>83.64</v>
      </c>
      <c r="G85" s="95" t="n">
        <v>38.69</v>
      </c>
      <c r="H85" s="95" t="n">
        <v>9.74</v>
      </c>
      <c r="I85" s="95" t="n">
        <v>132.07</v>
      </c>
      <c r="J85" s="96" t="n">
        <v>0.22</v>
      </c>
      <c r="K85" s="95" t="n">
        <f>I85*(1+J85)</f>
        <v>161.12539999999998</v>
      </c>
      <c r="L85" s="96" t="n">
        <v>0.3</v>
      </c>
      <c r="M85" s="95" t="n">
        <f>K85*(1+L85)</f>
        <v>209.46302</v>
      </c>
      <c r="N85" t="str">
        <v>CAMICON · Quito</v>
      </c>
      <c r="O85" t="str">
        <v>Octubre–diciembre 2025</v>
      </c>
      <c r="P85" s="97" t="str">
        <v>REFERENCIAL QUITO · utilidad 30% provisional</v>
      </c>
      <c r="Q85" t="str">
        <v>ESTRUCTURA</v>
      </c>
      <c r="R85" t="str">
        <v>hormigon simple plintos f'c= 210 kg/cm2, no inc. encofrado</v>
      </c>
    </row>
    <row r="86">
      <c r="A86" t="str">
        <v>CAM-0081</v>
      </c>
      <c r="B86" t="str">
        <v>OBRA CIVIL</v>
      </c>
      <c r="C86" t="str">
        <v>5,0128</v>
      </c>
      <c r="D86" s="97" t="str">
        <v>HORMIGÓN SIMPLE PLINTOS F'C= 240 KG/CM2, NO INC. ENCOFRADO</v>
      </c>
      <c r="E86" t="str">
        <v>m³</v>
      </c>
      <c r="F86" s="95" t="n">
        <v>88.43</v>
      </c>
      <c r="G86" s="95" t="n">
        <v>38.69</v>
      </c>
      <c r="H86" s="95" t="n">
        <v>9.74</v>
      </c>
      <c r="I86" s="95" t="n">
        <v>136.86</v>
      </c>
      <c r="J86" s="96" t="n">
        <v>0.22</v>
      </c>
      <c r="K86" s="95" t="n">
        <f>I86*(1+J86)</f>
        <v>166.9692</v>
      </c>
      <c r="L86" s="96" t="n">
        <v>0.3</v>
      </c>
      <c r="M86" s="95" t="n">
        <f>K86*(1+L86)</f>
        <v>217.05996000000002</v>
      </c>
      <c r="N86" t="str">
        <v>CAMICON · Quito</v>
      </c>
      <c r="O86" t="str">
        <v>Octubre–diciembre 2025</v>
      </c>
      <c r="P86" s="97" t="str">
        <v>REFERENCIAL QUITO · utilidad 30% provisional</v>
      </c>
      <c r="Q86" t="str">
        <v>ESTRUCTURA</v>
      </c>
      <c r="R86" t="str">
        <v>hormigon simple plintos f'c= 240 kg/cm2, no inc. encofrado</v>
      </c>
    </row>
    <row r="87">
      <c r="A87" t="str">
        <v>CAM-0082</v>
      </c>
      <c r="B87" t="str">
        <v>OBRA CIVIL</v>
      </c>
      <c r="C87" t="str">
        <v>5,0129</v>
      </c>
      <c r="D87" s="97" t="str">
        <v>HORMIGÓN SIMPLE PLINTOS F'C= 280 KG/CM2, NO INC. ENCOFRADO</v>
      </c>
      <c r="E87" t="str">
        <v>m³</v>
      </c>
      <c r="F87" s="95" t="n">
        <v>91.28</v>
      </c>
      <c r="G87" s="95" t="n">
        <v>38.69</v>
      </c>
      <c r="H87" s="95" t="n">
        <v>9.74</v>
      </c>
      <c r="I87" s="95" t="n">
        <v>139.71</v>
      </c>
      <c r="J87" s="96" t="n">
        <v>0.22</v>
      </c>
      <c r="K87" s="95" t="n">
        <f>I87*(1+J87)</f>
        <v>170.4462</v>
      </c>
      <c r="L87" s="96" t="n">
        <v>0.3</v>
      </c>
      <c r="M87" s="95" t="n">
        <f>K87*(1+L87)</f>
        <v>221.58006</v>
      </c>
      <c r="N87" t="str">
        <v>CAMICON · Quito</v>
      </c>
      <c r="O87" t="str">
        <v>Octubre–diciembre 2025</v>
      </c>
      <c r="P87" s="97" t="str">
        <v>REFERENCIAL QUITO · utilidad 30% provisional</v>
      </c>
      <c r="Q87" t="str">
        <v>ESTRUCTURA</v>
      </c>
      <c r="R87" t="str">
        <v>hormigon simple plintos f'c= 280 kg/cm2, no inc. encofrado</v>
      </c>
    </row>
    <row r="88">
      <c r="A88" t="str">
        <v>CAM-0083</v>
      </c>
      <c r="B88" t="str">
        <v>OBRA CIVIL</v>
      </c>
      <c r="C88" t="str">
        <v>5,0130</v>
      </c>
      <c r="D88" s="97" t="str">
        <v>HORMIGÓN SIMPLE REPLANTILLO F´C= 140 KG/CM2. EQUIPO: CONCRETERA 1 SACO</v>
      </c>
      <c r="E88" t="str">
        <v>m³</v>
      </c>
      <c r="F88" s="95" t="n">
        <v>75.19</v>
      </c>
      <c r="G88" s="95" t="n">
        <v>38.69</v>
      </c>
      <c r="H88" s="95" t="n">
        <v>6.61</v>
      </c>
      <c r="I88" s="95" t="n">
        <v>120.49</v>
      </c>
      <c r="J88" s="96" t="n">
        <v>0.22</v>
      </c>
      <c r="K88" s="95" t="n">
        <f>I88*(1+J88)</f>
        <v>146.99779999999998</v>
      </c>
      <c r="L88" s="96" t="n">
        <v>0.3</v>
      </c>
      <c r="M88" s="95" t="n">
        <f>K88*(1+L88)</f>
        <v>191.09714</v>
      </c>
      <c r="N88" t="str">
        <v>CAMICON · Quito</v>
      </c>
      <c r="O88" t="str">
        <v>Octubre–diciembre 2025</v>
      </c>
      <c r="P88" s="97" t="str">
        <v>REFERENCIAL QUITO · utilidad 30% provisional</v>
      </c>
      <c r="Q88" t="str">
        <v>ESTRUCTURA</v>
      </c>
      <c r="R88" t="str">
        <v>hormigon simple replantillo f´c= 140 kg/cm2. equipo: concretera 1 saco</v>
      </c>
    </row>
    <row r="89">
      <c r="A89" t="str">
        <v>CAM-0084</v>
      </c>
      <c r="B89" t="str">
        <v>OBRA CIVIL</v>
      </c>
      <c r="C89" t="str">
        <v>5,0131</v>
      </c>
      <c r="D89" s="97" t="str">
        <v>HORMIGÓN SIMPLE REPLANTILLO F´C= 180 KG/CM2. EQUIPO: CONCRETERA 1 SACO</v>
      </c>
      <c r="E89" t="str">
        <v>m³</v>
      </c>
      <c r="F89" s="95" t="n">
        <v>79.35</v>
      </c>
      <c r="G89" s="95" t="n">
        <v>38.69</v>
      </c>
      <c r="H89" s="95" t="n">
        <v>6.61</v>
      </c>
      <c r="I89" s="95" t="n">
        <v>124.65</v>
      </c>
      <c r="J89" s="96" t="n">
        <v>0.22</v>
      </c>
      <c r="K89" s="95" t="n">
        <f>I89*(1+J89)</f>
        <v>152.073</v>
      </c>
      <c r="L89" s="96" t="n">
        <v>0.3</v>
      </c>
      <c r="M89" s="95" t="n">
        <f>K89*(1+L89)</f>
        <v>197.69490000000002</v>
      </c>
      <c r="N89" t="str">
        <v>CAMICON · Quito</v>
      </c>
      <c r="O89" t="str">
        <v>Octubre–diciembre 2025</v>
      </c>
      <c r="P89" s="97" t="str">
        <v>REFERENCIAL QUITO · utilidad 30% provisional</v>
      </c>
      <c r="Q89" t="str">
        <v>ESTRUCTURA</v>
      </c>
      <c r="R89" t="str">
        <v>hormigon simple replantillo f´c= 180 kg/cm2. equipo: concretera 1 saco</v>
      </c>
    </row>
    <row r="90">
      <c r="A90" t="str">
        <v>CAM-0085</v>
      </c>
      <c r="B90" t="str">
        <v>OBRA CIVIL</v>
      </c>
      <c r="C90" t="str">
        <v>5,0132</v>
      </c>
      <c r="D90" s="97" t="str">
        <v>HORMIGÓN SIMPLE RIOSTRAS, F´C= 210 KG/CM2, NO INC. ENCOFRADO</v>
      </c>
      <c r="E90" t="str">
        <v>m³</v>
      </c>
      <c r="F90" s="95" t="n">
        <v>83.64</v>
      </c>
      <c r="G90" s="95" t="n">
        <v>39.47</v>
      </c>
      <c r="H90" s="95" t="n">
        <v>10.95</v>
      </c>
      <c r="I90" s="95" t="n">
        <v>134.06</v>
      </c>
      <c r="J90" s="96" t="n">
        <v>0.22</v>
      </c>
      <c r="K90" s="95" t="n">
        <f>I90*(1+J90)</f>
        <v>163.5532</v>
      </c>
      <c r="L90" s="96" t="n">
        <v>0.3</v>
      </c>
      <c r="M90" s="95" t="n">
        <f>K90*(1+L90)</f>
        <v>212.61916000000002</v>
      </c>
      <c r="N90" t="str">
        <v>CAMICON · Quito</v>
      </c>
      <c r="O90" t="str">
        <v>Octubre–diciembre 2025</v>
      </c>
      <c r="P90" s="97" t="str">
        <v>REFERENCIAL QUITO · utilidad 30% provisional</v>
      </c>
      <c r="Q90" t="str">
        <v>ESTRUCTURA</v>
      </c>
      <c r="R90" t="str">
        <v>hormigon simple riostras, f´c= 210 kg/cm2, no inc. encofrado</v>
      </c>
    </row>
    <row r="91">
      <c r="A91" t="str">
        <v>CAM-0086</v>
      </c>
      <c r="B91" t="str">
        <v>OBRA CIVIL</v>
      </c>
      <c r="C91" t="str">
        <v>5,0133</v>
      </c>
      <c r="D91" s="97" t="str">
        <v>HORMIGÓN SIMPLE RIOSTRAS, F´C= 240 KG/CM2, NO INC. ENCOFRADO</v>
      </c>
      <c r="E91" t="str">
        <v>m³</v>
      </c>
      <c r="F91" s="95" t="n">
        <v>88.43</v>
      </c>
      <c r="G91" s="95" t="n">
        <v>39.47</v>
      </c>
      <c r="H91" s="95" t="n">
        <v>10.95</v>
      </c>
      <c r="I91" s="95" t="n">
        <v>138.85</v>
      </c>
      <c r="J91" s="96" t="n">
        <v>0.22</v>
      </c>
      <c r="K91" s="95" t="n">
        <f>I91*(1+J91)</f>
        <v>169.397</v>
      </c>
      <c r="L91" s="96" t="n">
        <v>0.3</v>
      </c>
      <c r="M91" s="95" t="n">
        <f>K91*(1+L91)</f>
        <v>220.21609999999998</v>
      </c>
      <c r="N91" t="str">
        <v>CAMICON · Quito</v>
      </c>
      <c r="O91" t="str">
        <v>Octubre–diciembre 2025</v>
      </c>
      <c r="P91" s="97" t="str">
        <v>REFERENCIAL QUITO · utilidad 30% provisional</v>
      </c>
      <c r="Q91" t="str">
        <v>ESTRUCTURA</v>
      </c>
      <c r="R91" t="str">
        <v>hormigon simple riostras, f´c= 240 kg/cm2, no inc. encofrado</v>
      </c>
    </row>
    <row r="92">
      <c r="A92" t="str">
        <v>CAM-0087</v>
      </c>
      <c r="B92" t="str">
        <v>OBRA CIVIL</v>
      </c>
      <c r="C92" t="str">
        <v>5,0134</v>
      </c>
      <c r="D92" s="97" t="str">
        <v>HORMIGÓN SIMPLE RIOSTRAS, F´C= 280 KG/CM2, NO INC. ENCOFRADO</v>
      </c>
      <c r="E92" t="str">
        <v>m³</v>
      </c>
      <c r="F92" s="95" t="n">
        <v>91.28</v>
      </c>
      <c r="G92" s="95" t="n">
        <v>39.47</v>
      </c>
      <c r="H92" s="95" t="n">
        <v>10.95</v>
      </c>
      <c r="I92" s="95" t="n">
        <v>141.7</v>
      </c>
      <c r="J92" s="96" t="n">
        <v>0.22</v>
      </c>
      <c r="K92" s="95" t="n">
        <f>I92*(1+J92)</f>
        <v>172.874</v>
      </c>
      <c r="L92" s="96" t="n">
        <v>0.3</v>
      </c>
      <c r="M92" s="95" t="n">
        <f>K92*(1+L92)</f>
        <v>224.7362</v>
      </c>
      <c r="N92" t="str">
        <v>CAMICON · Quito</v>
      </c>
      <c r="O92" t="str">
        <v>Octubre–diciembre 2025</v>
      </c>
      <c r="P92" s="97" t="str">
        <v>REFERENCIAL QUITO · utilidad 30% provisional</v>
      </c>
      <c r="Q92" t="str">
        <v>ESTRUCTURA</v>
      </c>
      <c r="R92" t="str">
        <v>hormigon simple riostras, f´c= 280 kg/cm2, no inc. encofrado</v>
      </c>
    </row>
    <row r="93">
      <c r="A93" t="str">
        <v>CAM-0088</v>
      </c>
      <c r="B93" t="str">
        <v>OBRA CIVIL</v>
      </c>
      <c r="C93" t="str">
        <v>5,0135</v>
      </c>
      <c r="D93" s="97" t="str">
        <v>HORMIGÓN SIMPLE VIGAS, F'C= 210 KG/CM2</v>
      </c>
      <c r="E93" t="str">
        <v>m³</v>
      </c>
      <c r="F93" s="95" t="n">
        <v>83.64</v>
      </c>
      <c r="G93" s="95" t="n">
        <v>44.26</v>
      </c>
      <c r="H93" s="95" t="n">
        <v>11.28</v>
      </c>
      <c r="I93" s="95" t="n">
        <v>139.18</v>
      </c>
      <c r="J93" s="96" t="n">
        <v>0.22</v>
      </c>
      <c r="K93" s="95" t="n">
        <f>I93*(1+J93)</f>
        <v>169.7996</v>
      </c>
      <c r="L93" s="96" t="n">
        <v>0.3</v>
      </c>
      <c r="M93" s="95" t="n">
        <f>K93*(1+L93)</f>
        <v>220.73948000000001</v>
      </c>
      <c r="N93" t="str">
        <v>CAMICON · Quito</v>
      </c>
      <c r="O93" t="str">
        <v>Octubre–diciembre 2025</v>
      </c>
      <c r="P93" s="97" t="str">
        <v>REFERENCIAL QUITO · utilidad 30% provisional</v>
      </c>
      <c r="Q93" t="str">
        <v>ESTRUCTURA</v>
      </c>
      <c r="R93" t="str">
        <v>hormigon simple vigas, f'c= 210 kg/cm2</v>
      </c>
    </row>
    <row r="94">
      <c r="A94" t="str">
        <v>CAM-0089</v>
      </c>
      <c r="B94" t="str">
        <v>OBRA CIVIL</v>
      </c>
      <c r="C94" t="str">
        <v>5,0136</v>
      </c>
      <c r="D94" s="97" t="str">
        <v>HORMIGÓN SIMPLE VIGAS, F'C= 240 KG/CM2</v>
      </c>
      <c r="E94" t="str">
        <v>m³</v>
      </c>
      <c r="F94" s="95" t="n">
        <v>88.43</v>
      </c>
      <c r="G94" s="95" t="n">
        <v>44.26</v>
      </c>
      <c r="H94" s="95" t="n">
        <v>11.28</v>
      </c>
      <c r="I94" s="95" t="n">
        <v>143.97</v>
      </c>
      <c r="J94" s="96" t="n">
        <v>0.22</v>
      </c>
      <c r="K94" s="95" t="n">
        <f>I94*(1+J94)</f>
        <v>175.64339999999999</v>
      </c>
      <c r="L94" s="96" t="n">
        <v>0.3</v>
      </c>
      <c r="M94" s="95" t="n">
        <f>K94*(1+L94)</f>
        <v>228.33641999999998</v>
      </c>
      <c r="N94" t="str">
        <v>CAMICON · Quito</v>
      </c>
      <c r="O94" t="str">
        <v>Octubre–diciembre 2025</v>
      </c>
      <c r="P94" s="97" t="str">
        <v>REFERENCIAL QUITO · utilidad 30% provisional</v>
      </c>
      <c r="Q94" t="str">
        <v>ESTRUCTURA</v>
      </c>
      <c r="R94" t="str">
        <v>hormigon simple vigas, f'c= 240 kg/cm2</v>
      </c>
    </row>
    <row r="95">
      <c r="A95" t="str">
        <v>CAM-0090</v>
      </c>
      <c r="B95" t="str">
        <v>OBRA CIVIL</v>
      </c>
      <c r="C95" t="str">
        <v>5,0137</v>
      </c>
      <c r="D95" s="97" t="str">
        <v>HORMIGÓN SIMPLE VIGAS, F'C= 280 KG/CM2</v>
      </c>
      <c r="E95" t="str">
        <v>m³</v>
      </c>
      <c r="F95" s="95" t="n">
        <v>91.28</v>
      </c>
      <c r="G95" s="95" t="n">
        <v>44.26</v>
      </c>
      <c r="H95" s="95" t="n">
        <v>11.28</v>
      </c>
      <c r="I95" s="95" t="n">
        <v>146.82</v>
      </c>
      <c r="J95" s="96" t="n">
        <v>0.22</v>
      </c>
      <c r="K95" s="95" t="n">
        <f>I95*(1+J95)</f>
        <v>179.1204</v>
      </c>
      <c r="L95" s="96" t="n">
        <v>0.3</v>
      </c>
      <c r="M95" s="95" t="n">
        <f>K95*(1+L95)</f>
        <v>232.85652</v>
      </c>
      <c r="N95" t="str">
        <v>CAMICON · Quito</v>
      </c>
      <c r="O95" t="str">
        <v>Octubre–diciembre 2025</v>
      </c>
      <c r="P95" s="97" t="str">
        <v>REFERENCIAL QUITO · utilidad 30% provisional</v>
      </c>
      <c r="Q95" t="str">
        <v>ESTRUCTURA</v>
      </c>
      <c r="R95" t="str">
        <v>hormigon simple vigas, f'c= 280 kg/cm2</v>
      </c>
    </row>
    <row r="96">
      <c r="A96" t="str">
        <v>CAM-0091</v>
      </c>
      <c r="B96" t="str">
        <v>OBRA CIVIL</v>
      </c>
      <c r="C96" t="str">
        <v>5,0201</v>
      </c>
      <c r="D96" s="97" t="str">
        <v>ACERO DE REFUERZO FY= 4200 KG/CM2 CON ALAMBRE GALV. N°18</v>
      </c>
      <c r="E96" t="str">
        <v>kg</v>
      </c>
      <c r="F96" s="95" t="n">
        <v>1.28</v>
      </c>
      <c r="G96" s="95" t="n">
        <v>0.5</v>
      </c>
      <c r="H96" s="95" t="n">
        <v>0.18</v>
      </c>
      <c r="I96" s="95" t="n">
        <v>1.96</v>
      </c>
      <c r="J96" s="96" t="n">
        <v>0.22</v>
      </c>
      <c r="K96" s="95" t="n">
        <f>I96*(1+J96)</f>
        <v>2.3912</v>
      </c>
      <c r="L96" s="96" t="n">
        <v>0.3</v>
      </c>
      <c r="M96" s="95" t="n">
        <f>K96*(1+L96)</f>
        <v>3.10856</v>
      </c>
      <c r="N96" t="str">
        <v>CAMICON · Quito</v>
      </c>
      <c r="O96" t="str">
        <v>Octubre–diciembre 2025</v>
      </c>
      <c r="P96" s="97" t="str">
        <v>REFERENCIAL QUITO · utilidad 30% provisional</v>
      </c>
      <c r="Q96" t="str">
        <v>ESTRUCTURA</v>
      </c>
      <c r="R96" t="str">
        <v>acero de refuerzo fy= 4200 kg/cm2 con alambre galv. n°18</v>
      </c>
    </row>
    <row r="97">
      <c r="A97" t="str">
        <v>CAM-0092</v>
      </c>
      <c r="B97" t="str">
        <v>VARIOS, TRANSPORTE Y MONTAJE</v>
      </c>
      <c r="C97" t="str">
        <v>5.0202</v>
      </c>
      <c r="D97" s="97" t="str">
        <v>ACERO ESTRUCTURAL A-36, INC. MONTAJE CON GRÚA</v>
      </c>
      <c r="E97" t="str">
        <v>kg</v>
      </c>
      <c r="F97" s="95" t="n">
        <v>3.89</v>
      </c>
      <c r="G97" s="95" t="n">
        <v>0.48</v>
      </c>
      <c r="H97" s="95" t="n">
        <v>0.58</v>
      </c>
      <c r="I97" s="95" t="n">
        <v>4.95</v>
      </c>
      <c r="J97" s="96" t="n">
        <v>0.22</v>
      </c>
      <c r="K97" s="95" t="n">
        <f>I97*(1+J97)</f>
        <v>6.039</v>
      </c>
      <c r="L97" s="96" t="n">
        <v>0.3</v>
      </c>
      <c r="M97" s="95" t="n">
        <f>K97*(1+L97)</f>
        <v>7.8507</v>
      </c>
      <c r="N97" t="str">
        <v>CAMICON · Quito</v>
      </c>
      <c r="O97" t="str">
        <v>Octubre–diciembre 2025</v>
      </c>
      <c r="P97" s="97" t="str">
        <v>REFERENCIAL QUITO · utilidad 30% provisional</v>
      </c>
      <c r="Q97" t="str">
        <v>ESTRUCTURA</v>
      </c>
      <c r="R97" t="str">
        <v>acero estructural a-36, inc. montaje con grua</v>
      </c>
    </row>
    <row r="98">
      <c r="A98" t="str">
        <v>CAM-0093</v>
      </c>
      <c r="B98" t="str">
        <v>VARIOS, TRANSPORTE Y MONTAJE</v>
      </c>
      <c r="C98" t="str">
        <v>5.0203</v>
      </c>
      <c r="D98" s="97" t="str">
        <v>ACERO ESTRUCTURAL A-36, MONTAJE MANUAL</v>
      </c>
      <c r="E98" t="str">
        <v>kg</v>
      </c>
      <c r="F98" s="95" t="n">
        <v>4</v>
      </c>
      <c r="G98" s="95" t="n">
        <v>1.19</v>
      </c>
      <c r="H98" s="95" t="n">
        <v>0.49</v>
      </c>
      <c r="I98" s="95" t="n">
        <v>5.68</v>
      </c>
      <c r="J98" s="96" t="n">
        <v>0.22</v>
      </c>
      <c r="K98" s="95" t="n">
        <f>I98*(1+J98)</f>
        <v>6.9296</v>
      </c>
      <c r="L98" s="96" t="n">
        <v>0.3</v>
      </c>
      <c r="M98" s="95" t="n">
        <f>K98*(1+L98)</f>
        <v>9.00848</v>
      </c>
      <c r="N98" t="str">
        <v>CAMICON · Quito</v>
      </c>
      <c r="O98" t="str">
        <v>Octubre–diciembre 2025</v>
      </c>
      <c r="P98" s="97" t="str">
        <v>REFERENCIAL QUITO · utilidad 30% provisional</v>
      </c>
      <c r="Q98" t="str">
        <v>ESTRUCTURA</v>
      </c>
      <c r="R98" t="str">
        <v>acero estructural a-36, montaje manual</v>
      </c>
    </row>
    <row r="99">
      <c r="A99" t="str">
        <v>CAM-0094</v>
      </c>
      <c r="B99" t="str">
        <v>OBRA CIVIL</v>
      </c>
      <c r="C99" t="str">
        <v>5.0204</v>
      </c>
      <c r="D99" s="97" t="str">
        <v>MALLA ELECTRO SOLDADA DE 5 MM CADA 10 CM (MALLA R-196)</v>
      </c>
      <c r="E99" t="str">
        <v>m²</v>
      </c>
      <c r="F99" s="95" t="n">
        <v>5.66</v>
      </c>
      <c r="G99" s="95" t="n">
        <v>0.72</v>
      </c>
      <c r="H99" s="95" t="n">
        <v>0.04</v>
      </c>
      <c r="I99" s="95" t="n">
        <v>6.42</v>
      </c>
      <c r="J99" s="96" t="n">
        <v>0.22</v>
      </c>
      <c r="K99" s="95" t="n">
        <f>I99*(1+J99)</f>
        <v>7.8324</v>
      </c>
      <c r="L99" s="96" t="n">
        <v>0.3</v>
      </c>
      <c r="M99" s="95" t="n">
        <f>K99*(1+L99)</f>
        <v>10.18212</v>
      </c>
      <c r="N99" t="str">
        <v>CAMICON · Quito</v>
      </c>
      <c r="O99" t="str">
        <v>Octubre–diciembre 2025</v>
      </c>
      <c r="P99" s="97" t="str">
        <v>REFERENCIAL QUITO · utilidad 30% provisional</v>
      </c>
      <c r="Q99" t="str">
        <v>ESTRUCTURA</v>
      </c>
      <c r="R99" t="str">
        <v>malla electro soldada de 5 mm cada 10 cm (malla r-196)</v>
      </c>
    </row>
    <row r="100">
      <c r="A100" t="str">
        <v>CAM-0095</v>
      </c>
      <c r="B100" t="str">
        <v>OBRA CIVIL</v>
      </c>
      <c r="C100" t="str">
        <v>5,0301</v>
      </c>
      <c r="D100" s="97" t="str">
        <v>BLOQUE DE ALIVIANAMIENTO 20x20x40 CM TIMBRADO + ESTIBAJE</v>
      </c>
      <c r="E100" t="str">
        <v>u</v>
      </c>
      <c r="F100" s="95" t="n">
        <v>0.39</v>
      </c>
      <c r="G100" s="95" t="n">
        <v>0.37</v>
      </c>
      <c r="H100" s="95" t="n">
        <v>0.02</v>
      </c>
      <c r="I100" s="95" t="n">
        <v>0.78</v>
      </c>
      <c r="J100" s="96" t="n">
        <v>0.22</v>
      </c>
      <c r="K100" s="95" t="n">
        <f>I100*(1+J100)</f>
        <v>0.9516</v>
      </c>
      <c r="L100" s="96" t="n">
        <v>0.3</v>
      </c>
      <c r="M100" s="95" t="n">
        <f>K100*(1+L100)</f>
        <v>1.23708</v>
      </c>
      <c r="N100" t="str">
        <v>CAMICON · Quito</v>
      </c>
      <c r="O100" t="str">
        <v>Octubre–diciembre 2025</v>
      </c>
      <c r="P100" s="97" t="str">
        <v>REFERENCIAL QUITO · utilidad 30% provisional</v>
      </c>
      <c r="Q100" t="str">
        <v>ESTRUCTURA</v>
      </c>
      <c r="R100" t="str">
        <v>bloque de alivianamiento 20x20x40 cm timbrado + estibaje</v>
      </c>
    </row>
    <row r="101">
      <c r="A101" t="str">
        <v>CAM-0096</v>
      </c>
      <c r="B101" t="str">
        <v>OBRA CIVIL</v>
      </c>
      <c r="C101" t="str">
        <v>5,0302</v>
      </c>
      <c r="D101" s="97" t="str">
        <v>BLOQUE DE ALIVIANAMIENTO 15x20x40 CM TIMBRADO + ESTIBAJE</v>
      </c>
      <c r="E101" t="str">
        <v>u</v>
      </c>
      <c r="F101" s="95" t="n">
        <v>0.35</v>
      </c>
      <c r="G101" s="95" t="n">
        <v>0.36</v>
      </c>
      <c r="H101" s="95" t="n">
        <v>0.02</v>
      </c>
      <c r="I101" s="95" t="n">
        <v>0.73</v>
      </c>
      <c r="J101" s="96" t="n">
        <v>0.22</v>
      </c>
      <c r="K101" s="95" t="n">
        <f>I101*(1+J101)</f>
        <v>0.8906</v>
      </c>
      <c r="L101" s="96" t="n">
        <v>0.3</v>
      </c>
      <c r="M101" s="95" t="n">
        <f>K101*(1+L101)</f>
        <v>1.15778</v>
      </c>
      <c r="N101" t="str">
        <v>CAMICON · Quito</v>
      </c>
      <c r="O101" t="str">
        <v>Octubre–diciembre 2025</v>
      </c>
      <c r="P101" s="97" t="str">
        <v>REFERENCIAL QUITO · utilidad 30% provisional</v>
      </c>
      <c r="Q101" t="str">
        <v>ESTRUCTURA</v>
      </c>
      <c r="R101" t="str">
        <v>bloque de alivianamiento 15x20x40 cm timbrado + estibaje</v>
      </c>
    </row>
    <row r="102">
      <c r="A102" t="str">
        <v>CAM-0097</v>
      </c>
      <c r="B102" t="str">
        <v>OBRA CIVIL</v>
      </c>
      <c r="C102" t="str">
        <v>5,0303</v>
      </c>
      <c r="D102" s="97" t="str">
        <v>BLOQUE DE ALIVIANAMIENTO DE POLIESTIRENO EXPANDIDO 1 USO 40X40X15</v>
      </c>
      <c r="E102" t="str">
        <v>u</v>
      </c>
      <c r="F102" s="95" t="n">
        <v>1.05</v>
      </c>
      <c r="G102" s="95" t="n">
        <v>1.13</v>
      </c>
      <c r="H102" s="95" t="n">
        <v>0.06</v>
      </c>
      <c r="I102" s="95" t="n">
        <v>2.24</v>
      </c>
      <c r="J102" s="96" t="n">
        <v>0.22</v>
      </c>
      <c r="K102" s="95" t="n">
        <f>I102*(1+J102)</f>
        <v>2.7328</v>
      </c>
      <c r="L102" s="96" t="n">
        <v>0.3</v>
      </c>
      <c r="M102" s="95" t="n">
        <f>K102*(1+L102)</f>
        <v>3.5526400000000002</v>
      </c>
      <c r="N102" t="str">
        <v>CAMICON · Quito</v>
      </c>
      <c r="O102" t="str">
        <v>Octubre–diciembre 2025</v>
      </c>
      <c r="P102" s="97" t="str">
        <v>REFERENCIAL QUITO · utilidad 30% provisional</v>
      </c>
      <c r="Q102" t="str">
        <v>ESTRUCTURA</v>
      </c>
      <c r="R102" t="str">
        <v>bloque de alivianamiento de poliestireno expandido 1 uso 40x40x15</v>
      </c>
    </row>
    <row r="103">
      <c r="A103" t="str">
        <v>CAM-0098</v>
      </c>
      <c r="B103" t="str">
        <v>OBRA CIVIL</v>
      </c>
      <c r="C103" t="str">
        <v>50304.0</v>
      </c>
      <c r="D103" s="97" t="str">
        <v>BLOQUE DE ALIVIANAMIENTO DE POLIESTIRENO EXPANDIDO 1 USO 40X40X20</v>
      </c>
      <c r="E103" t="str">
        <v>u</v>
      </c>
      <c r="F103" s="95" t="n">
        <v>1.37</v>
      </c>
      <c r="G103" s="95" t="n">
        <v>1.69</v>
      </c>
      <c r="H103" s="95" t="n">
        <v>0.08</v>
      </c>
      <c r="I103" s="95" t="n">
        <v>3.14</v>
      </c>
      <c r="J103" s="96" t="n">
        <v>0.22</v>
      </c>
      <c r="K103" s="95" t="n">
        <f>I103*(1+J103)</f>
        <v>3.8308</v>
      </c>
      <c r="L103" s="96" t="n">
        <v>0.3</v>
      </c>
      <c r="M103" s="95" t="n">
        <f>K103*(1+L103)</f>
        <v>4.98004</v>
      </c>
      <c r="N103" t="str">
        <v>CAMICON · Quito</v>
      </c>
      <c r="O103" t="str">
        <v>Octubre–diciembre 2025</v>
      </c>
      <c r="P103" s="97" t="str">
        <v>REFERENCIAL QUITO · utilidad 30% provisional</v>
      </c>
      <c r="Q103" t="str">
        <v>ESTRUCTURA</v>
      </c>
      <c r="R103" t="str">
        <v>bloque de alivianamiento de poliestireno expandido 1 uso 40x40x20</v>
      </c>
    </row>
    <row r="104">
      <c r="A104" t="str">
        <v>CAM-0099</v>
      </c>
      <c r="B104" t="str">
        <v>OBRA CIVIL</v>
      </c>
      <c r="C104" t="str">
        <v>6.0101</v>
      </c>
      <c r="D104" s="97" t="str">
        <v>ENCOFRADO CON TABLERO CONTRACHAPADO (1 USO)</v>
      </c>
      <c r="E104" t="str">
        <v>m²</v>
      </c>
      <c r="F104" s="95" t="n">
        <v>22.84</v>
      </c>
      <c r="G104" s="95" t="n">
        <v>7.56</v>
      </c>
      <c r="H104" s="95" t="n">
        <v>2.16</v>
      </c>
      <c r="I104" s="95" t="n">
        <v>32.56</v>
      </c>
      <c r="J104" s="96" t="n">
        <v>0.22</v>
      </c>
      <c r="K104" s="95" t="n">
        <f>I104*(1+J104)</f>
        <v>39.7232</v>
      </c>
      <c r="L104" s="96" t="n">
        <v>0.3</v>
      </c>
      <c r="M104" s="95" t="n">
        <f>K104*(1+L104)</f>
        <v>51.64016</v>
      </c>
      <c r="N104" t="str">
        <v>CAMICON · Quito</v>
      </c>
      <c r="O104" t="str">
        <v>Octubre–diciembre 2025</v>
      </c>
      <c r="P104" s="97" t="str">
        <v>REFERENCIAL QUITO · utilidad 30% provisional</v>
      </c>
      <c r="Q104" t="str">
        <v>ENCOFRADOS DE ELEMENTOS ESTRUCTURALES Y ENTIBADOS</v>
      </c>
      <c r="R104" t="str">
        <v>encofrado con tablero contrachapado (1 uso)</v>
      </c>
    </row>
    <row r="105">
      <c r="A105" t="str">
        <v>CAM-0100</v>
      </c>
      <c r="B105" t="str">
        <v>OBRA CIVIL</v>
      </c>
      <c r="C105" t="str">
        <v>6.0102</v>
      </c>
      <c r="D105" s="97" t="str">
        <v>ENCOFRADO CON TABLERO CONTRACHAPADO CADENA 20x20 CM (1 USO)</v>
      </c>
      <c r="E105" t="str">
        <v>m²</v>
      </c>
      <c r="F105" s="95" t="n">
        <v>24.69</v>
      </c>
      <c r="G105" s="95" t="n">
        <v>3.78</v>
      </c>
      <c r="H105" s="95" t="n">
        <v>0.59</v>
      </c>
      <c r="I105" s="95" t="n">
        <v>29.06</v>
      </c>
      <c r="J105" s="96" t="n">
        <v>0.22</v>
      </c>
      <c r="K105" s="95" t="n">
        <f>I105*(1+J105)</f>
        <v>35.453199999999995</v>
      </c>
      <c r="L105" s="96" t="n">
        <v>0.3</v>
      </c>
      <c r="M105" s="95" t="n">
        <f>K105*(1+L105)</f>
        <v>46.08915999999999</v>
      </c>
      <c r="N105" t="str">
        <v>CAMICON · Quito</v>
      </c>
      <c r="O105" t="str">
        <v>Octubre–diciembre 2025</v>
      </c>
      <c r="P105" s="97" t="str">
        <v>REFERENCIAL QUITO · utilidad 30% provisional</v>
      </c>
      <c r="Q105" t="str">
        <v>ENCOFRADOS DE ELEMENTOS ESTRUCTURALES Y ENTIBADOS</v>
      </c>
      <c r="R105" t="str">
        <v>encofrado con tablero contrachapado cadena 20x20 cm (1 uso)</v>
      </c>
    </row>
    <row r="106">
      <c r="A106" t="str">
        <v>CAM-0101</v>
      </c>
      <c r="B106" t="str">
        <v>OBRA CIVIL</v>
      </c>
      <c r="C106" t="str">
        <v>6.0103</v>
      </c>
      <c r="D106" s="97" t="str">
        <v>ENCOFRADO CON TABLERO CONTRACHAPADO COLUMNA 30X30 CM (1 USO)</v>
      </c>
      <c r="E106" t="str">
        <v>m²</v>
      </c>
      <c r="F106" s="95" t="n">
        <v>24.47</v>
      </c>
      <c r="G106" s="95" t="n">
        <v>3.98</v>
      </c>
      <c r="H106" s="95" t="n">
        <v>1.14</v>
      </c>
      <c r="I106" s="95" t="n">
        <v>29.59</v>
      </c>
      <c r="J106" s="96" t="n">
        <v>0.22</v>
      </c>
      <c r="K106" s="95" t="n">
        <f>I106*(1+J106)</f>
        <v>36.0998</v>
      </c>
      <c r="L106" s="96" t="n">
        <v>0.3</v>
      </c>
      <c r="M106" s="95" t="n">
        <f>K106*(1+L106)</f>
        <v>46.92974</v>
      </c>
      <c r="N106" t="str">
        <v>CAMICON · Quito</v>
      </c>
      <c r="O106" t="str">
        <v>Octubre–diciembre 2025</v>
      </c>
      <c r="P106" s="97" t="str">
        <v>REFERENCIAL QUITO · utilidad 30% provisional</v>
      </c>
      <c r="Q106" t="str">
        <v>ENCOFRADOS DE ELEMENTOS ESTRUCTURALES Y ENTIBADOS</v>
      </c>
      <c r="R106" t="str">
        <v>encofrado con tablero contrachapado columna 30x30 cm (1 uso)</v>
      </c>
    </row>
    <row r="107">
      <c r="A107" t="str">
        <v>CAM-0102</v>
      </c>
      <c r="B107" t="str">
        <v>OBRA CIVIL</v>
      </c>
      <c r="C107" t="str">
        <v>6.0104</v>
      </c>
      <c r="D107" s="97" t="str">
        <v>ENCOFRADO CON TABLERO CONTRACHAPADO LOSA, INC. VIGAS DE MADERA (1 USO)</v>
      </c>
      <c r="E107" t="str">
        <v>m²</v>
      </c>
      <c r="F107" s="95" t="n">
        <v>35.15</v>
      </c>
      <c r="G107" s="95" t="n">
        <v>6.64</v>
      </c>
      <c r="H107" s="95" t="n">
        <v>1.9</v>
      </c>
      <c r="I107" s="95" t="n">
        <v>43.69</v>
      </c>
      <c r="J107" s="96" t="n">
        <v>0.22</v>
      </c>
      <c r="K107" s="95" t="n">
        <f>I107*(1+J107)</f>
        <v>53.30179999999999</v>
      </c>
      <c r="L107" s="96" t="n">
        <v>0.3</v>
      </c>
      <c r="M107" s="95" t="n">
        <f>K107*(1+L107)</f>
        <v>69.29234</v>
      </c>
      <c r="N107" t="str">
        <v>CAMICON · Quito</v>
      </c>
      <c r="O107" t="str">
        <v>Octubre–diciembre 2025</v>
      </c>
      <c r="P107" s="97" t="str">
        <v>REFERENCIAL QUITO · utilidad 30% provisional</v>
      </c>
      <c r="Q107" t="str">
        <v>ENCOFRADOS DE ELEMENTOS ESTRUCTURALES Y ENTIBADOS</v>
      </c>
      <c r="R107" t="str">
        <v>encofrado con tablero contrachapado losa, inc. vigas de madera (1 uso)</v>
      </c>
    </row>
    <row r="108">
      <c r="A108" t="str">
        <v>CAM-0103</v>
      </c>
      <c r="B108" t="str">
        <v>OBRA CIVIL</v>
      </c>
      <c r="C108" t="str">
        <v>6.0105</v>
      </c>
      <c r="D108" s="97" t="str">
        <v>ENCOFRADO CON TABLERO CONTRACHAPADO VIGA 30X50 CM (1 USO)</v>
      </c>
      <c r="E108" t="str">
        <v>m²</v>
      </c>
      <c r="F108" s="95" t="n">
        <v>20.03</v>
      </c>
      <c r="G108" s="95" t="n">
        <v>7.56</v>
      </c>
      <c r="H108" s="95" t="n">
        <v>2.16</v>
      </c>
      <c r="I108" s="95" t="n">
        <v>29.75</v>
      </c>
      <c r="J108" s="96" t="n">
        <v>0.22</v>
      </c>
      <c r="K108" s="95" t="n">
        <f>I108*(1+J108)</f>
        <v>36.295</v>
      </c>
      <c r="L108" s="96" t="n">
        <v>0.3</v>
      </c>
      <c r="M108" s="95" t="n">
        <f>K108*(1+L108)</f>
        <v>47.1835</v>
      </c>
      <c r="N108" t="str">
        <v>CAMICON · Quito</v>
      </c>
      <c r="O108" t="str">
        <v>Octubre–diciembre 2025</v>
      </c>
      <c r="P108" s="97" t="str">
        <v>REFERENCIAL QUITO · utilidad 30% provisional</v>
      </c>
      <c r="Q108" t="str">
        <v>ENCOFRADOS DE ELEMENTOS ESTRUCTURALES Y ENTIBADOS</v>
      </c>
      <c r="R108" t="str">
        <v>encofrado con tablero contrachapado viga 30x50 cm (1 uso)</v>
      </c>
    </row>
    <row r="109">
      <c r="A109" t="str">
        <v>CAM-0104</v>
      </c>
      <c r="B109" t="str">
        <v>OBRA CIVIL</v>
      </c>
      <c r="C109" t="str">
        <v>6.0106</v>
      </c>
      <c r="D109" s="97" t="str">
        <v>ENCOFRADO TABLA DE MONTE - CADENA 20x20 CM (1 USO)</v>
      </c>
      <c r="E109" t="str">
        <v>m²</v>
      </c>
      <c r="F109" s="95" t="n">
        <v>18.64</v>
      </c>
      <c r="G109" s="95" t="n">
        <v>1.66</v>
      </c>
      <c r="H109" s="95" t="n">
        <v>0.48</v>
      </c>
      <c r="I109" s="95" t="n">
        <v>20.78</v>
      </c>
      <c r="J109" s="96" t="n">
        <v>0.22</v>
      </c>
      <c r="K109" s="95" t="n">
        <f>I109*(1+J109)</f>
        <v>25.3516</v>
      </c>
      <c r="L109" s="96" t="n">
        <v>0.3</v>
      </c>
      <c r="M109" s="95" t="n">
        <f>K109*(1+L109)</f>
        <v>32.957080000000005</v>
      </c>
      <c r="N109" t="str">
        <v>CAMICON · Quito</v>
      </c>
      <c r="O109" t="str">
        <v>Octubre–diciembre 2025</v>
      </c>
      <c r="P109" s="97" t="str">
        <v>REFERENCIAL QUITO · utilidad 30% provisional</v>
      </c>
      <c r="Q109" t="str">
        <v>ENCOFRADOS DE ELEMENTOS ESTRUCTURALES Y ENTIBADOS</v>
      </c>
      <c r="R109" t="str">
        <v>encofrado tabla de monte - cadena 20x20 cm (1 uso)</v>
      </c>
    </row>
    <row r="110">
      <c r="A110" t="str">
        <v>CAM-0105</v>
      </c>
      <c r="B110" t="str">
        <v>OBRA CIVIL</v>
      </c>
      <c r="C110" t="str">
        <v>6.0107</v>
      </c>
      <c r="D110" s="97" t="str">
        <v>ENCOFRADO TABLA DE MONTE - COLUMNA 30X30 CM (1 USO)</v>
      </c>
      <c r="E110" t="str">
        <v>m²</v>
      </c>
      <c r="F110" s="95" t="n">
        <v>18.42</v>
      </c>
      <c r="G110" s="95" t="n">
        <v>3.96</v>
      </c>
      <c r="H110" s="95" t="n">
        <v>1.14</v>
      </c>
      <c r="I110" s="95" t="n">
        <v>23.52</v>
      </c>
      <c r="J110" s="96" t="n">
        <v>0.22</v>
      </c>
      <c r="K110" s="95" t="n">
        <f>I110*(1+J110)</f>
        <v>28.694399999999998</v>
      </c>
      <c r="L110" s="96" t="n">
        <v>0.3</v>
      </c>
      <c r="M110" s="95" t="n">
        <f>K110*(1+L110)</f>
        <v>37.30272</v>
      </c>
      <c r="N110" t="str">
        <v>CAMICON · Quito</v>
      </c>
      <c r="O110" t="str">
        <v>Octubre–diciembre 2025</v>
      </c>
      <c r="P110" s="97" t="str">
        <v>REFERENCIAL QUITO · utilidad 30% provisional</v>
      </c>
      <c r="Q110" t="str">
        <v>ENCOFRADOS DE ELEMENTOS ESTRUCTURALES Y ENTIBADOS</v>
      </c>
      <c r="R110" t="str">
        <v>encofrado tabla de monte - columna 30x30 cm (1 uso)</v>
      </c>
    </row>
    <row r="111">
      <c r="A111" t="str">
        <v>CAM-0106</v>
      </c>
      <c r="B111" t="str">
        <v>OBRA CIVIL</v>
      </c>
      <c r="C111" t="str">
        <v>6.0108</v>
      </c>
      <c r="D111" s="97" t="str">
        <v>ENCOFRADO TABLA DE MONTE - LOSA, INC. VIGAS DE MADERA (1 USO)</v>
      </c>
      <c r="E111" t="str">
        <v>m²</v>
      </c>
      <c r="F111" s="95" t="n">
        <v>27.33</v>
      </c>
      <c r="G111" s="95" t="n">
        <v>6.64</v>
      </c>
      <c r="H111" s="95" t="n">
        <v>1.9</v>
      </c>
      <c r="I111" s="95" t="n">
        <v>35.87</v>
      </c>
      <c r="J111" s="96" t="n">
        <v>0.22</v>
      </c>
      <c r="K111" s="95" t="n">
        <f>I111*(1+J111)</f>
        <v>43.761399999999995</v>
      </c>
      <c r="L111" s="96" t="n">
        <v>0.3</v>
      </c>
      <c r="M111" s="95" t="n">
        <f>K111*(1+L111)</f>
        <v>56.88981999999999</v>
      </c>
      <c r="N111" t="str">
        <v>CAMICON · Quito</v>
      </c>
      <c r="O111" t="str">
        <v>Octubre–diciembre 2025</v>
      </c>
      <c r="P111" s="97" t="str">
        <v>REFERENCIAL QUITO · utilidad 30% provisional</v>
      </c>
      <c r="Q111" t="str">
        <v>ENCOFRADOS DE ELEMENTOS ESTRUCTURALES Y ENTIBADOS</v>
      </c>
      <c r="R111" t="str">
        <v>encofrado tabla de monte - losa, inc. vigas de madera (1 uso)</v>
      </c>
    </row>
    <row r="112">
      <c r="A112" t="str">
        <v>CAM-0107</v>
      </c>
      <c r="B112" t="str">
        <v>OBRA CIVIL</v>
      </c>
      <c r="C112" t="str">
        <v>6.0109</v>
      </c>
      <c r="D112" s="97" t="str">
        <v>ENCOFRADO TABLA DE MONTE - VIGA 30X50 CM (1 USO)</v>
      </c>
      <c r="E112" t="str">
        <v>m²</v>
      </c>
      <c r="F112" s="95" t="n">
        <v>13</v>
      </c>
      <c r="G112" s="95" t="n">
        <v>7.53</v>
      </c>
      <c r="H112" s="95" t="n">
        <v>2.16</v>
      </c>
      <c r="I112" s="95" t="n">
        <v>22.69</v>
      </c>
      <c r="J112" s="96" t="n">
        <v>0.22</v>
      </c>
      <c r="K112" s="95" t="n">
        <f>I112*(1+J112)</f>
        <v>27.681800000000003</v>
      </c>
      <c r="L112" s="96" t="n">
        <v>0.3</v>
      </c>
      <c r="M112" s="95" t="n">
        <f>K112*(1+L112)</f>
        <v>35.986340000000006</v>
      </c>
      <c r="N112" t="str">
        <v>CAMICON · Quito</v>
      </c>
      <c r="O112" t="str">
        <v>Octubre–diciembre 2025</v>
      </c>
      <c r="P112" s="97" t="str">
        <v>REFERENCIAL QUITO · utilidad 30% provisional</v>
      </c>
      <c r="Q112" t="str">
        <v>ENCOFRADOS DE ELEMENTOS ESTRUCTURALES Y ENTIBADOS</v>
      </c>
      <c r="R112" t="str">
        <v>encofrado tabla de monte - viga 30x50 cm (1 uso)</v>
      </c>
    </row>
    <row r="113">
      <c r="A113" t="str">
        <v>CAM-0108</v>
      </c>
      <c r="B113" t="str">
        <v>OBRA CIVIL</v>
      </c>
      <c r="C113" t="str">
        <v>6.0201</v>
      </c>
      <c r="D113" s="97" t="str">
        <v>ENTIBADO EN SUELO DURO. 0.00M A 2.00M, VERTICAL.</v>
      </c>
      <c r="E113" t="str">
        <v>m²</v>
      </c>
      <c r="F113" s="95" t="n">
        <v>2.95</v>
      </c>
      <c r="G113" s="95" t="n">
        <v>0.5</v>
      </c>
      <c r="H113" s="95" t="n">
        <v>0.03</v>
      </c>
      <c r="I113" s="95" t="n">
        <v>3.48</v>
      </c>
      <c r="J113" s="96" t="n">
        <v>0.22</v>
      </c>
      <c r="K113" s="95" t="n">
        <f>I113*(1+J113)</f>
        <v>4.2456</v>
      </c>
      <c r="L113" s="96" t="n">
        <v>0.3</v>
      </c>
      <c r="M113" s="95" t="n">
        <f>K113*(1+L113)</f>
        <v>5.519279999999999</v>
      </c>
      <c r="N113" t="str">
        <v>CAMICON · Quito</v>
      </c>
      <c r="O113" t="str">
        <v>Octubre–diciembre 2025</v>
      </c>
      <c r="P113" s="97" t="str">
        <v>REFERENCIAL QUITO · utilidad 30% provisional</v>
      </c>
      <c r="Q113" t="str">
        <v>ENCOFRADOS DE ELEMENTOS ESTRUCTURALES Y ENTIBADOS</v>
      </c>
      <c r="R113" t="str">
        <v>entibado en suelo duro. 0.00m a 2.00m, vertical.</v>
      </c>
    </row>
    <row r="114">
      <c r="A114" t="str">
        <v>CAM-0109</v>
      </c>
      <c r="B114" t="str">
        <v>OBRA CIVIL</v>
      </c>
      <c r="C114" t="str">
        <v>6.0202</v>
      </c>
      <c r="D114" s="97" t="str">
        <v>ENTIBADO EN SUELO DURO. 2.01M A 3.00M, PENDIENTE 3:1</v>
      </c>
      <c r="E114" t="str">
        <v>m²</v>
      </c>
      <c r="F114" s="95" t="n">
        <v>3.04</v>
      </c>
      <c r="G114" s="95" t="n">
        <v>0.65</v>
      </c>
      <c r="H114" s="95" t="n">
        <v>0.03</v>
      </c>
      <c r="I114" s="95" t="n">
        <v>3.72</v>
      </c>
      <c r="J114" s="96" t="n">
        <v>0.22</v>
      </c>
      <c r="K114" s="95" t="n">
        <f>I114*(1+J114)</f>
        <v>4.5384</v>
      </c>
      <c r="L114" s="96" t="n">
        <v>0.3</v>
      </c>
      <c r="M114" s="95" t="n">
        <f>K114*(1+L114)</f>
        <v>5.899920000000001</v>
      </c>
      <c r="N114" t="str">
        <v>CAMICON · Quito</v>
      </c>
      <c r="O114" t="str">
        <v>Octubre–diciembre 2025</v>
      </c>
      <c r="P114" s="97" t="str">
        <v>REFERENCIAL QUITO · utilidad 30% provisional</v>
      </c>
      <c r="Q114" t="str">
        <v>ENCOFRADOS DE ELEMENTOS ESTRUCTURALES Y ENTIBADOS</v>
      </c>
      <c r="R114" t="str">
        <v>entibado en suelo duro. 2.01m a 3.00m, pendiente 3:1</v>
      </c>
    </row>
    <row r="115">
      <c r="A115" t="str">
        <v>CAM-0110</v>
      </c>
      <c r="B115" t="str">
        <v>OBRA CIVIL</v>
      </c>
      <c r="C115" t="str">
        <v>6.0203</v>
      </c>
      <c r="D115" s="97" t="str">
        <v>ENTIBADO EN SUELO DURO. 3.01M A 5.00M, PENDIENTE 3:1</v>
      </c>
      <c r="E115" t="str">
        <v>m²</v>
      </c>
      <c r="F115" s="95" t="n">
        <v>2.79</v>
      </c>
      <c r="G115" s="95" t="n">
        <v>1.02</v>
      </c>
      <c r="H115" s="95" t="n">
        <v>0.05</v>
      </c>
      <c r="I115" s="95" t="n">
        <v>3.86</v>
      </c>
      <c r="J115" s="96" t="n">
        <v>0.22</v>
      </c>
      <c r="K115" s="95" t="n">
        <f>I115*(1+J115)</f>
        <v>4.7092</v>
      </c>
      <c r="L115" s="96" t="n">
        <v>0.3</v>
      </c>
      <c r="M115" s="95" t="n">
        <f>K115*(1+L115)</f>
        <v>6.1219600000000005</v>
      </c>
      <c r="N115" t="str">
        <v>CAMICON · Quito</v>
      </c>
      <c r="O115" t="str">
        <v>Octubre–diciembre 2025</v>
      </c>
      <c r="P115" s="97" t="str">
        <v>REFERENCIAL QUITO · utilidad 30% provisional</v>
      </c>
      <c r="Q115" t="str">
        <v>ENCOFRADOS DE ELEMENTOS ESTRUCTURALES Y ENTIBADOS</v>
      </c>
      <c r="R115" t="str">
        <v>entibado en suelo duro. 3.01m a 5.00m, pendiente 3:1</v>
      </c>
    </row>
    <row r="116">
      <c r="A116" t="str">
        <v>CAM-0111</v>
      </c>
      <c r="B116" t="str">
        <v>OBRA CIVIL</v>
      </c>
      <c r="C116" t="str">
        <v>6.0204</v>
      </c>
      <c r="D116" s="97" t="str">
        <v>ENTIBADO EN ARCILLAS INALTERADAS. 0.00M A 1.50M, VERTICAL</v>
      </c>
      <c r="E116" t="str">
        <v>m²</v>
      </c>
      <c r="F116" s="95" t="n">
        <v>3.95</v>
      </c>
      <c r="G116" s="95" t="n">
        <v>1.55</v>
      </c>
      <c r="H116" s="95" t="n">
        <v>0.08</v>
      </c>
      <c r="I116" s="95" t="n">
        <v>5.58</v>
      </c>
      <c r="J116" s="96" t="n">
        <v>0.22</v>
      </c>
      <c r="K116" s="95" t="n">
        <f>I116*(1+J116)</f>
        <v>6.8076</v>
      </c>
      <c r="L116" s="96" t="n">
        <v>0.3</v>
      </c>
      <c r="M116" s="95" t="n">
        <f>K116*(1+L116)</f>
        <v>8.84988</v>
      </c>
      <c r="N116" t="str">
        <v>CAMICON · Quito</v>
      </c>
      <c r="O116" t="str">
        <v>Octubre–diciembre 2025</v>
      </c>
      <c r="P116" s="97" t="str">
        <v>REFERENCIAL QUITO · utilidad 30% provisional</v>
      </c>
      <c r="Q116" t="str">
        <v>ENCOFRADOS DE ELEMENTOS ESTRUCTURALES Y ENTIBADOS</v>
      </c>
      <c r="R116" t="str">
        <v>entibado en arcillas inalteradas. 0.00m a 1.50m, vertical</v>
      </c>
    </row>
    <row r="117">
      <c r="A117" t="str">
        <v>CAM-0112</v>
      </c>
      <c r="B117" t="str">
        <v>OBRA CIVIL</v>
      </c>
      <c r="C117" t="str">
        <v>6.0205</v>
      </c>
      <c r="D117" s="97" t="str">
        <v>ENTIBADO EN ARCILLAS INALTERADAS. 1.51M A 3.00M, PENDIENTE 3:1</v>
      </c>
      <c r="E117" t="str">
        <v>m²</v>
      </c>
      <c r="F117" s="95" t="n">
        <v>4.92</v>
      </c>
      <c r="G117" s="95" t="n">
        <v>2.73</v>
      </c>
      <c r="H117" s="95" t="n">
        <v>0.14</v>
      </c>
      <c r="I117" s="95" t="n">
        <v>7.79</v>
      </c>
      <c r="J117" s="96" t="n">
        <v>0.22</v>
      </c>
      <c r="K117" s="95" t="n">
        <f>I117*(1+J117)</f>
        <v>9.5038</v>
      </c>
      <c r="L117" s="96" t="n">
        <v>0.3</v>
      </c>
      <c r="M117" s="95" t="n">
        <f>K117*(1+L117)</f>
        <v>12.354940000000001</v>
      </c>
      <c r="N117" t="str">
        <v>CAMICON · Quito</v>
      </c>
      <c r="O117" t="str">
        <v>Octubre–diciembre 2025</v>
      </c>
      <c r="P117" s="97" t="str">
        <v>REFERENCIAL QUITO · utilidad 30% provisional</v>
      </c>
      <c r="Q117" t="str">
        <v>ENCOFRADOS DE ELEMENTOS ESTRUCTURALES Y ENTIBADOS</v>
      </c>
      <c r="R117" t="str">
        <v>entibado en arcillas inalteradas. 1.51m a 3.00m, pendiente 3:1</v>
      </c>
    </row>
    <row r="118">
      <c r="A118" t="str">
        <v>CAM-0113</v>
      </c>
      <c r="B118" t="str">
        <v>OBRA CIVIL</v>
      </c>
      <c r="C118" t="str">
        <v>6.0206</v>
      </c>
      <c r="D118" s="97" t="str">
        <v>ENTIBADO EN ARCILLAS INALTERADAS. 3.01M A 5.00M, PENDIENTE 1.5:1</v>
      </c>
      <c r="E118" t="str">
        <v>m²</v>
      </c>
      <c r="F118" s="95" t="n">
        <v>4.51</v>
      </c>
      <c r="G118" s="95" t="n">
        <v>5.26</v>
      </c>
      <c r="H118" s="95" t="n">
        <v>0.26</v>
      </c>
      <c r="I118" s="95" t="n">
        <v>10.03</v>
      </c>
      <c r="J118" s="96" t="n">
        <v>0.22</v>
      </c>
      <c r="K118" s="95" t="n">
        <f>I118*(1+J118)</f>
        <v>12.2366</v>
      </c>
      <c r="L118" s="96" t="n">
        <v>0.3</v>
      </c>
      <c r="M118" s="95" t="n">
        <f>K118*(1+L118)</f>
        <v>15.90758</v>
      </c>
      <c r="N118" t="str">
        <v>CAMICON · Quito</v>
      </c>
      <c r="O118" t="str">
        <v>Octubre–diciembre 2025</v>
      </c>
      <c r="P118" s="97" t="str">
        <v>REFERENCIAL QUITO · utilidad 30% provisional</v>
      </c>
      <c r="Q118" t="str">
        <v>ENCOFRADOS DE ELEMENTOS ESTRUCTURALES Y ENTIBADOS</v>
      </c>
      <c r="R118" t="str">
        <v>entibado en arcillas inalteradas. 3.01m a 5.00m, pendiente 1.5:1</v>
      </c>
    </row>
    <row r="119">
      <c r="A119" t="str">
        <v>CAM-0114</v>
      </c>
      <c r="B119" t="str">
        <v>OBRA CIVIL</v>
      </c>
      <c r="C119" t="str">
        <v>6.0207</v>
      </c>
      <c r="D119" s="97" t="str">
        <v>ENTIBADO EN ARCILLAS ALTERADAS. 3.01M A 5.00M, TERRAZA A -2.00M. PENDIENTE 2:1 (0.00M - 2.00M) Y 1:1 (2.01M - 5.00M)</v>
      </c>
      <c r="E119" t="str">
        <v>m²</v>
      </c>
      <c r="F119" s="95" t="n">
        <v>4.92</v>
      </c>
      <c r="G119" s="95" t="n">
        <v>11</v>
      </c>
      <c r="H119" s="95" t="n">
        <v>0.55</v>
      </c>
      <c r="I119" s="95" t="n">
        <v>16.47</v>
      </c>
      <c r="J119" s="96" t="n">
        <v>0.22</v>
      </c>
      <c r="K119" s="95" t="n">
        <f>I119*(1+J119)</f>
        <v>20.0934</v>
      </c>
      <c r="L119" s="96" t="n">
        <v>0.3</v>
      </c>
      <c r="M119" s="95" t="n">
        <f>K119*(1+L119)</f>
        <v>26.12142</v>
      </c>
      <c r="N119" t="str">
        <v>CAMICON · Quito</v>
      </c>
      <c r="O119" t="str">
        <v>Octubre–diciembre 2025</v>
      </c>
      <c r="P119" s="97" t="str">
        <v>REFERENCIAL QUITO · utilidad 30% provisional</v>
      </c>
      <c r="Q119" t="str">
        <v>ENCOFRADOS DE ELEMENTOS ESTRUCTURALES Y ENTIBADOS</v>
      </c>
      <c r="R119" t="str">
        <v>entibado en arcillas alteradas. 3.01m a 5.00m, terraza a -2.00m. pendiente 2:1 (0.00m - 2.00m) y 1:1 (2.01m - 5.00m)</v>
      </c>
    </row>
    <row r="120">
      <c r="A120" t="str">
        <v>CAM-0115</v>
      </c>
      <c r="B120" t="str">
        <v>OBRA CIVIL</v>
      </c>
      <c r="C120" t="str">
        <v>6.0208</v>
      </c>
      <c r="D120" s="97" t="str">
        <v>ENTIBADO EN ARENAS Y MARGAS FLOJAS INALTERADAS. 0.00M A 1.50M, PENDIENTE 3:1</v>
      </c>
      <c r="E120" t="str">
        <v>m²</v>
      </c>
      <c r="F120" s="95" t="n">
        <v>6.08</v>
      </c>
      <c r="G120" s="95" t="n">
        <v>1.61</v>
      </c>
      <c r="H120" s="95" t="n">
        <v>0.08</v>
      </c>
      <c r="I120" s="95" t="n">
        <v>7.77</v>
      </c>
      <c r="J120" s="96" t="n">
        <v>0.22</v>
      </c>
      <c r="K120" s="95" t="n">
        <f>I120*(1+J120)</f>
        <v>9.4794</v>
      </c>
      <c r="L120" s="96" t="n">
        <v>0.3</v>
      </c>
      <c r="M120" s="95" t="n">
        <f>K120*(1+L120)</f>
        <v>12.323220000000001</v>
      </c>
      <c r="N120" t="str">
        <v>CAMICON · Quito</v>
      </c>
      <c r="O120" t="str">
        <v>Octubre–diciembre 2025</v>
      </c>
      <c r="P120" s="97" t="str">
        <v>REFERENCIAL QUITO · utilidad 30% provisional</v>
      </c>
      <c r="Q120" t="str">
        <v>ENCOFRADOS DE ELEMENTOS ESTRUCTURALES Y ENTIBADOS</v>
      </c>
      <c r="R120" t="str">
        <v>entibado en arenas y margas flojas inalteradas. 0.00m a 1.50m, pendiente 3:1</v>
      </c>
    </row>
    <row r="121">
      <c r="A121" t="str">
        <v>CAM-0116</v>
      </c>
      <c r="B121" t="str">
        <v>OBRA CIVIL</v>
      </c>
      <c r="C121" t="str">
        <v>6.0209</v>
      </c>
      <c r="D121" s="97" t="str">
        <v>ENTIBADO EN ARENAS Y MARGAS FLOJAS INALTERADAS. 1.51M A 3.00M, PENDIENTE 2:1</v>
      </c>
      <c r="E121" t="str">
        <v>m²</v>
      </c>
      <c r="F121" s="95" t="n">
        <v>5.61</v>
      </c>
      <c r="G121" s="95" t="n">
        <v>2.98</v>
      </c>
      <c r="H121" s="95" t="n">
        <v>0.15</v>
      </c>
      <c r="I121" s="95" t="n">
        <v>8.74</v>
      </c>
      <c r="J121" s="96" t="n">
        <v>0.22</v>
      </c>
      <c r="K121" s="95" t="n">
        <f>I121*(1+J121)</f>
        <v>10.6628</v>
      </c>
      <c r="L121" s="96" t="n">
        <v>0.3</v>
      </c>
      <c r="M121" s="95" t="n">
        <f>K121*(1+L121)</f>
        <v>13.861640000000001</v>
      </c>
      <c r="N121" t="str">
        <v>CAMICON · Quito</v>
      </c>
      <c r="O121" t="str">
        <v>Octubre–diciembre 2025</v>
      </c>
      <c r="P121" s="97" t="str">
        <v>REFERENCIAL QUITO · utilidad 30% provisional</v>
      </c>
      <c r="Q121" t="str">
        <v>ENCOFRADOS DE ELEMENTOS ESTRUCTURALES Y ENTIBADOS</v>
      </c>
      <c r="R121" t="str">
        <v>entibado en arenas y margas flojas inalteradas. 1.51m a 3.00m, pendiente 2:1</v>
      </c>
    </row>
    <row r="122">
      <c r="A122" t="str">
        <v>CAM-0117</v>
      </c>
      <c r="B122" t="str">
        <v>OBRA CIVIL</v>
      </c>
      <c r="C122" t="str">
        <v>6.0210</v>
      </c>
      <c r="D122" s="97" t="str">
        <v>ENTIBADO EN ARENAS Y MARGAS FLOJAS INALTERADAS. 3.01M A 5.00M, PENDIENTE 1.5:1</v>
      </c>
      <c r="E122" t="str">
        <v>m²</v>
      </c>
      <c r="F122" s="95" t="n">
        <v>11.28</v>
      </c>
      <c r="G122" s="95" t="n">
        <v>5.96</v>
      </c>
      <c r="H122" s="95" t="n">
        <v>0.3</v>
      </c>
      <c r="I122" s="95" t="n">
        <v>17.54</v>
      </c>
      <c r="J122" s="96" t="n">
        <v>0.22</v>
      </c>
      <c r="K122" s="95" t="n">
        <f>I122*(1+J122)</f>
        <v>21.398799999999998</v>
      </c>
      <c r="L122" s="96" t="n">
        <v>0.3</v>
      </c>
      <c r="M122" s="95" t="n">
        <f>K122*(1+L122)</f>
        <v>27.81844</v>
      </c>
      <c r="N122" t="str">
        <v>CAMICON · Quito</v>
      </c>
      <c r="O122" t="str">
        <v>Octubre–diciembre 2025</v>
      </c>
      <c r="P122" s="97" t="str">
        <v>REFERENCIAL QUITO · utilidad 30% provisional</v>
      </c>
      <c r="Q122" t="str">
        <v>ENCOFRADOS DE ELEMENTOS ESTRUCTURALES Y ENTIBADOS</v>
      </c>
      <c r="R122" t="str">
        <v>entibado en arenas y margas flojas inalteradas. 3.01m a 5.00m, pendiente 1.5:1</v>
      </c>
    </row>
    <row r="123">
      <c r="A123" t="str">
        <v>CAM-0118</v>
      </c>
      <c r="B123" t="str">
        <v>OBRA CIVIL</v>
      </c>
      <c r="C123" t="str">
        <v>6.0211</v>
      </c>
      <c r="D123" s="97" t="str">
        <v>ENTIBADO EN ARCILLAS ALTERADAS. 3.01M A 5.00M, TERRAZA A -2.00M. PENDIENTE 2:1 (0.00M - 2.00M) Y 1:1 (2.01M - 5.00M)</v>
      </c>
      <c r="E123" t="str">
        <v>m²</v>
      </c>
      <c r="F123" s="95" t="n">
        <v>11.17</v>
      </c>
      <c r="G123" s="95" t="n">
        <v>11</v>
      </c>
      <c r="H123" s="95" t="n">
        <v>0.55</v>
      </c>
      <c r="I123" s="95" t="n">
        <v>22.72</v>
      </c>
      <c r="J123" s="96" t="n">
        <v>0.22</v>
      </c>
      <c r="K123" s="95" t="n">
        <f>I123*(1+J123)</f>
        <v>27.7184</v>
      </c>
      <c r="L123" s="96" t="n">
        <v>0.3</v>
      </c>
      <c r="M123" s="95" t="n">
        <f>K123*(1+L123)</f>
        <v>36.03392</v>
      </c>
      <c r="N123" t="str">
        <v>CAMICON · Quito</v>
      </c>
      <c r="O123" t="str">
        <v>Octubre–diciembre 2025</v>
      </c>
      <c r="P123" s="97" t="str">
        <v>REFERENCIAL QUITO · utilidad 30% provisional</v>
      </c>
      <c r="Q123" t="str">
        <v>ENCOFRADOS DE ELEMENTOS ESTRUCTURALES Y ENTIBADOS</v>
      </c>
      <c r="R123" t="str">
        <v>entibado en arcillas alteradas. 3.01m a 5.00m, terraza a -2.00m. pendiente 2:1 (0.00m - 2.00m) y 1:1 (2.01m - 5.00m)</v>
      </c>
    </row>
    <row r="124">
      <c r="A124" t="str">
        <v>CAM-0119</v>
      </c>
      <c r="B124" t="str">
        <v>VIDRIO Y ALUMINIO</v>
      </c>
      <c r="C124" t="str">
        <v>7,0101</v>
      </c>
      <c r="D124" s="97" t="str">
        <v>ALFEIZAR VENTANA A= 24 CM, E= 4 CM, INC BOTAGUA, INC. ENCOFRADO</v>
      </c>
      <c r="E124" t="str">
        <v>mtl</v>
      </c>
      <c r="F124" s="95" t="n">
        <v>4.93</v>
      </c>
      <c r="G124" s="95" t="n">
        <v>3.94</v>
      </c>
      <c r="H124" s="95" t="n">
        <v>0.2</v>
      </c>
      <c r="I124" s="95" t="n">
        <v>9.07</v>
      </c>
      <c r="J124" s="96" t="n">
        <v>0.22</v>
      </c>
      <c r="K124" s="95" t="n">
        <f>I124*(1+J124)</f>
        <v>11.0654</v>
      </c>
      <c r="L124" s="96" t="n">
        <v>0.3</v>
      </c>
      <c r="M124" s="95" t="n">
        <f>K124*(1+L124)</f>
        <v>14.38502</v>
      </c>
      <c r="N124" t="str">
        <v>CAMICON · Quito</v>
      </c>
      <c r="O124" t="str">
        <v>Octubre–diciembre 2025</v>
      </c>
      <c r="P124" s="97" t="str">
        <v>REFERENCIAL QUITO · utilidad 30% provisional</v>
      </c>
      <c r="Q124" t="str">
        <v>ALBAÑILERÍA</v>
      </c>
      <c r="R124" t="str">
        <v>alfeizar ventana a= 24 cm, e= 4 cm, inc botagua, inc. encofrado</v>
      </c>
    </row>
    <row r="125">
      <c r="A125" t="str">
        <v>CAM-0120</v>
      </c>
      <c r="B125" t="str">
        <v>OBRA CIVIL</v>
      </c>
      <c r="C125" t="str">
        <v>7.0102</v>
      </c>
      <c r="D125" s="97" t="str">
        <v>BORDILLO DE TINETA DE BAÑO 10X15 CM</v>
      </c>
      <c r="E125" t="str">
        <v>mtl</v>
      </c>
      <c r="F125" s="95" t="n">
        <v>2.36</v>
      </c>
      <c r="G125" s="95" t="n">
        <v>8.99</v>
      </c>
      <c r="H125" s="95" t="n">
        <v>0.92</v>
      </c>
      <c r="I125" s="95" t="n">
        <v>12.27</v>
      </c>
      <c r="J125" s="96" t="n">
        <v>0.22</v>
      </c>
      <c r="K125" s="95" t="n">
        <f>I125*(1+J125)</f>
        <v>14.969399999999998</v>
      </c>
      <c r="L125" s="96" t="n">
        <v>0.3</v>
      </c>
      <c r="M125" s="95" t="n">
        <f>K125*(1+L125)</f>
        <v>19.46022</v>
      </c>
      <c r="N125" t="str">
        <v>CAMICON · Quito</v>
      </c>
      <c r="O125" t="str">
        <v>Octubre–diciembre 2025</v>
      </c>
      <c r="P125" s="97" t="str">
        <v>REFERENCIAL QUITO · utilidad 30% provisional</v>
      </c>
      <c r="Q125" t="str">
        <v>ALBAÑILERÍA</v>
      </c>
      <c r="R125" t="str">
        <v>bordillo de tineta de bano 10x15 cm</v>
      </c>
    </row>
    <row r="126">
      <c r="A126" t="str">
        <v>CAM-0121</v>
      </c>
      <c r="B126" t="str">
        <v>OBRA CIVIL</v>
      </c>
      <c r="C126" t="str">
        <v>7.0103</v>
      </c>
      <c r="D126" s="97" t="str">
        <v>DINTEL 0.1X0.20X1.1 M, F´C= 180 KG/CM2</v>
      </c>
      <c r="E126" t="str">
        <v>u</v>
      </c>
      <c r="F126" s="95" t="n">
        <v>8.29</v>
      </c>
      <c r="G126" s="95" t="n">
        <v>5.28</v>
      </c>
      <c r="H126" s="95" t="n">
        <v>0.85</v>
      </c>
      <c r="I126" s="95" t="n">
        <v>14.42</v>
      </c>
      <c r="J126" s="96" t="n">
        <v>0.22</v>
      </c>
      <c r="K126" s="95" t="n">
        <f>I126*(1+J126)</f>
        <v>17.592399999999998</v>
      </c>
      <c r="L126" s="96" t="n">
        <v>0.3</v>
      </c>
      <c r="M126" s="95" t="n">
        <f>K126*(1+L126)</f>
        <v>22.870119999999996</v>
      </c>
      <c r="N126" t="str">
        <v>CAMICON · Quito</v>
      </c>
      <c r="O126" t="str">
        <v>Octubre–diciembre 2025</v>
      </c>
      <c r="P126" s="97" t="str">
        <v>REFERENCIAL QUITO · utilidad 30% provisional</v>
      </c>
      <c r="Q126" t="str">
        <v>ALBAÑILERÍA</v>
      </c>
      <c r="R126" t="str">
        <v>dintel 0.1x0.20x1.1 m, f´c= 180 kg/cm2</v>
      </c>
    </row>
    <row r="127">
      <c r="A127" t="str">
        <v>CAM-0122</v>
      </c>
      <c r="B127" t="str">
        <v>OBRA CIVIL</v>
      </c>
      <c r="C127" t="str">
        <v>7.0104</v>
      </c>
      <c r="D127" s="97" t="str">
        <v>LAVANDERÍA PREFABRICADA 80X50 CM (INC. INSTALACIÓN)</v>
      </c>
      <c r="E127" t="str">
        <v>u</v>
      </c>
      <c r="F127" s="95" t="n">
        <v>76.21</v>
      </c>
      <c r="G127" s="95" t="n">
        <v>8.99</v>
      </c>
      <c r="H127" s="95" t="n">
        <v>0.45</v>
      </c>
      <c r="I127" s="95" t="n">
        <v>85.65</v>
      </c>
      <c r="J127" s="96" t="n">
        <v>0.22</v>
      </c>
      <c r="K127" s="95" t="n">
        <f>I127*(1+J127)</f>
        <v>104.49300000000001</v>
      </c>
      <c r="L127" s="96" t="n">
        <v>0.3</v>
      </c>
      <c r="M127" s="95" t="n">
        <f>K127*(1+L127)</f>
        <v>135.8409</v>
      </c>
      <c r="N127" t="str">
        <v>CAMICON · Quito</v>
      </c>
      <c r="O127" t="str">
        <v>Octubre–diciembre 2025</v>
      </c>
      <c r="P127" s="97" t="str">
        <v>REFERENCIAL QUITO · utilidad 30% provisional</v>
      </c>
      <c r="Q127" t="str">
        <v>ALBAÑILERÍA</v>
      </c>
      <c r="R127" t="str">
        <v>lavanderia prefabricada 80x50 cm (inc. instalacion)</v>
      </c>
    </row>
    <row r="128">
      <c r="A128" t="str">
        <v>CAM-0123</v>
      </c>
      <c r="B128" t="str">
        <v>OBRA CIVIL</v>
      </c>
      <c r="C128" t="str">
        <v>7.0105</v>
      </c>
      <c r="D128" s="97" t="str">
        <v>MAMPOSTERÍA DE BLOQUE PRENSADO ALIVIANADO 40X20X10 CM MORTERO 1:6, E= 2.0 CM</v>
      </c>
      <c r="E128" t="str">
        <v>m²</v>
      </c>
      <c r="F128" s="95" t="n">
        <v>4.36</v>
      </c>
      <c r="G128" s="95" t="n">
        <v>5.48</v>
      </c>
      <c r="H128" s="95" t="n">
        <v>1.06</v>
      </c>
      <c r="I128" s="95" t="n">
        <v>10.9</v>
      </c>
      <c r="J128" s="96" t="n">
        <v>0.22</v>
      </c>
      <c r="K128" s="95" t="n">
        <f>I128*(1+J128)</f>
        <v>13.298</v>
      </c>
      <c r="L128" s="96" t="n">
        <v>0.3</v>
      </c>
      <c r="M128" s="95" t="n">
        <f>K128*(1+L128)</f>
        <v>17.2874</v>
      </c>
      <c r="N128" t="str">
        <v>CAMICON · Quito</v>
      </c>
      <c r="O128" t="str">
        <v>Octubre–diciembre 2025</v>
      </c>
      <c r="P128" s="97" t="str">
        <v>REFERENCIAL QUITO · utilidad 30% provisional</v>
      </c>
      <c r="Q128" t="str">
        <v>ALBAÑILERÍA</v>
      </c>
      <c r="R128" t="str">
        <v>mamposteria de bloque prensado alivianado 40x20x10 cm mortero 1:6, e= 2.0 cm</v>
      </c>
    </row>
    <row r="129">
      <c r="A129" t="str">
        <v>CAM-0124</v>
      </c>
      <c r="B129" t="str">
        <v>OBRA CIVIL</v>
      </c>
      <c r="C129" t="str">
        <v>7.0106</v>
      </c>
      <c r="D129" s="97" t="str">
        <v>MAMPOSTERÍA DE BLOQUE PRENSADO ALIVIANADO 40X20X15 CM MORTERO 1:6, E= 2.0 CM</v>
      </c>
      <c r="E129" t="str">
        <v>m²</v>
      </c>
      <c r="F129" s="95" t="n">
        <v>5.41</v>
      </c>
      <c r="G129" s="95" t="n">
        <v>5.52</v>
      </c>
      <c r="H129" s="95" t="n">
        <v>1.08</v>
      </c>
      <c r="I129" s="95" t="n">
        <v>12.01</v>
      </c>
      <c r="J129" s="96" t="n">
        <v>0.22</v>
      </c>
      <c r="K129" s="95" t="n">
        <f>I129*(1+J129)</f>
        <v>14.652199999999999</v>
      </c>
      <c r="L129" s="96" t="n">
        <v>0.3</v>
      </c>
      <c r="M129" s="95" t="n">
        <f>K129*(1+L129)</f>
        <v>19.04786</v>
      </c>
      <c r="N129" t="str">
        <v>CAMICON · Quito</v>
      </c>
      <c r="O129" t="str">
        <v>Octubre–diciembre 2025</v>
      </c>
      <c r="P129" s="97" t="str">
        <v>REFERENCIAL QUITO · utilidad 30% provisional</v>
      </c>
      <c r="Q129" t="str">
        <v>ALBAÑILERÍA</v>
      </c>
      <c r="R129" t="str">
        <v>mamposteria de bloque prensado alivianado 40x20x15 cm mortero 1:6, e= 2.0 cm</v>
      </c>
    </row>
    <row r="130">
      <c r="A130" t="str">
        <v>CAM-0125</v>
      </c>
      <c r="B130" t="str">
        <v>OBRA CIVIL</v>
      </c>
      <c r="C130" t="str">
        <v>7.0107</v>
      </c>
      <c r="D130" s="97" t="str">
        <v>MAMPOSTERÍA DE BLOQUE PRENSADO ALIVIANADO 40X20X20 CM MORTERO 1:6, E= 2.0CM</v>
      </c>
      <c r="E130" t="str">
        <v>m²</v>
      </c>
      <c r="F130" s="95" t="n">
        <v>6.33</v>
      </c>
      <c r="G130" s="95" t="n">
        <v>5.56</v>
      </c>
      <c r="H130" s="95" t="n">
        <v>1.09</v>
      </c>
      <c r="I130" s="95" t="n">
        <v>12.98</v>
      </c>
      <c r="J130" s="96" t="n">
        <v>0.22</v>
      </c>
      <c r="K130" s="95" t="n">
        <f>I130*(1+J130)</f>
        <v>15.8356</v>
      </c>
      <c r="L130" s="96" t="n">
        <v>0.3</v>
      </c>
      <c r="M130" s="95" t="n">
        <f>K130*(1+L130)</f>
        <v>20.58628</v>
      </c>
      <c r="N130" t="str">
        <v>CAMICON · Quito</v>
      </c>
      <c r="O130" t="str">
        <v>Octubre–diciembre 2025</v>
      </c>
      <c r="P130" s="97" t="str">
        <v>REFERENCIAL QUITO · utilidad 30% provisional</v>
      </c>
      <c r="Q130" t="str">
        <v>ALBAÑILERÍA</v>
      </c>
      <c r="R130" t="str">
        <v>mamposteria de bloque prensado alivianado 40x20x20 cm mortero 1:6, e= 2.0cm</v>
      </c>
    </row>
    <row r="131">
      <c r="A131" t="str">
        <v>CAM-0126</v>
      </c>
      <c r="B131" t="str">
        <v>OBRA CIVIL</v>
      </c>
      <c r="C131" t="str">
        <v>7.0108</v>
      </c>
      <c r="D131" s="97" t="str">
        <v>MAMPOSTERÍA DE BLOQUE PRENSADO PESADO 40X20X10 CM MORTERO 1:6, E= 2.0 CM</v>
      </c>
      <c r="E131" t="str">
        <v>m²</v>
      </c>
      <c r="F131" s="95" t="n">
        <v>7.01</v>
      </c>
      <c r="G131" s="95" t="n">
        <v>6.38</v>
      </c>
      <c r="H131" s="95" t="n">
        <v>1.24</v>
      </c>
      <c r="I131" s="95" t="n">
        <v>14.63</v>
      </c>
      <c r="J131" s="96" t="n">
        <v>0.22</v>
      </c>
      <c r="K131" s="95" t="n">
        <f>I131*(1+J131)</f>
        <v>17.8486</v>
      </c>
      <c r="L131" s="96" t="n">
        <v>0.3</v>
      </c>
      <c r="M131" s="95" t="n">
        <f>K131*(1+L131)</f>
        <v>23.203180000000003</v>
      </c>
      <c r="N131" t="str">
        <v>CAMICON · Quito</v>
      </c>
      <c r="O131" t="str">
        <v>Octubre–diciembre 2025</v>
      </c>
      <c r="P131" s="97" t="str">
        <v>REFERENCIAL QUITO · utilidad 30% provisional</v>
      </c>
      <c r="Q131" t="str">
        <v>ALBAÑILERÍA</v>
      </c>
      <c r="R131" t="str">
        <v>mamposteria de bloque prensado pesado 40x20x10 cm mortero 1:6, e= 2.0 cm</v>
      </c>
    </row>
    <row r="132">
      <c r="A132" t="str">
        <v>CAM-0127</v>
      </c>
      <c r="B132" t="str">
        <v>OBRA CIVIL</v>
      </c>
      <c r="C132" t="str">
        <v>7.0109</v>
      </c>
      <c r="D132" s="97" t="str">
        <v>MAMPOSTERÍA DE BLOQUE PRENSADO PESADO 40X20X15 CM MORTERO 1:6, E= 2.0 CM</v>
      </c>
      <c r="E132" t="str">
        <v>m²</v>
      </c>
      <c r="F132" s="95" t="n">
        <v>7.7</v>
      </c>
      <c r="G132" s="95" t="n">
        <v>6.42</v>
      </c>
      <c r="H132" s="95" t="n">
        <v>1.25</v>
      </c>
      <c r="I132" s="95" t="n">
        <v>15.37</v>
      </c>
      <c r="J132" s="96" t="n">
        <v>0.22</v>
      </c>
      <c r="K132" s="95" t="n">
        <f>I132*(1+J132)</f>
        <v>18.7514</v>
      </c>
      <c r="L132" s="96" t="n">
        <v>0.3</v>
      </c>
      <c r="M132" s="95" t="n">
        <f>K132*(1+L132)</f>
        <v>24.376820000000002</v>
      </c>
      <c r="N132" t="str">
        <v>CAMICON · Quito</v>
      </c>
      <c r="O132" t="str">
        <v>Octubre–diciembre 2025</v>
      </c>
      <c r="P132" s="97" t="str">
        <v>REFERENCIAL QUITO · utilidad 30% provisional</v>
      </c>
      <c r="Q132" t="str">
        <v>ALBAÑILERÍA</v>
      </c>
      <c r="R132" t="str">
        <v>mamposteria de bloque prensado pesado 40x20x15 cm mortero 1:6, e= 2.0 cm</v>
      </c>
    </row>
    <row r="133">
      <c r="A133" t="str">
        <v>CAM-0128</v>
      </c>
      <c r="B133" t="str">
        <v>OBRA CIVIL</v>
      </c>
      <c r="C133" t="str">
        <v>7.0110</v>
      </c>
      <c r="D133" s="97" t="str">
        <v>MAMPOSTERÍA DE BLOQUE PRENSADO PESADO 40X20X20 CM MORTERO 1:6, E= 2.0 CM</v>
      </c>
      <c r="E133" t="str">
        <v>m²</v>
      </c>
      <c r="F133" s="95" t="n">
        <v>10.42</v>
      </c>
      <c r="G133" s="95" t="n">
        <v>6.47</v>
      </c>
      <c r="H133" s="95" t="n">
        <v>1.26</v>
      </c>
      <c r="I133" s="95" t="n">
        <v>18.15</v>
      </c>
      <c r="J133" s="96" t="n">
        <v>0.22</v>
      </c>
      <c r="K133" s="95" t="n">
        <f>I133*(1+J133)</f>
        <v>22.142999999999997</v>
      </c>
      <c r="L133" s="96" t="n">
        <v>0.3</v>
      </c>
      <c r="M133" s="95" t="n">
        <f>K133*(1+L133)</f>
        <v>28.785899999999998</v>
      </c>
      <c r="N133" t="str">
        <v>CAMICON · Quito</v>
      </c>
      <c r="O133" t="str">
        <v>Octubre–diciembre 2025</v>
      </c>
      <c r="P133" s="97" t="str">
        <v>REFERENCIAL QUITO · utilidad 30% provisional</v>
      </c>
      <c r="Q133" t="str">
        <v>ALBAÑILERÍA</v>
      </c>
      <c r="R133" t="str">
        <v>mamposteria de bloque prensado pesado 40x20x20 cm mortero 1:6, e= 2.0 cm</v>
      </c>
    </row>
    <row r="134">
      <c r="A134" t="str">
        <v>CAM-0129</v>
      </c>
      <c r="B134" t="str">
        <v>OBRA CIVIL</v>
      </c>
      <c r="C134" t="str">
        <v>7.0111</v>
      </c>
      <c r="D134" s="97" t="str">
        <v>MAMPOSTERÍA DE JABONCILLO, 27X09X13 CM, MORTERO 1:6, E= 2.0 CM</v>
      </c>
      <c r="E134" t="str">
        <v>m²</v>
      </c>
      <c r="F134" s="95" t="n">
        <v>10.4</v>
      </c>
      <c r="G134" s="95" t="n">
        <v>8.99</v>
      </c>
      <c r="H134" s="95" t="n">
        <v>1.45</v>
      </c>
      <c r="I134" s="95" t="n">
        <v>20.84</v>
      </c>
      <c r="J134" s="96" t="n">
        <v>0.22</v>
      </c>
      <c r="K134" s="95" t="n">
        <f>I134*(1+J134)</f>
        <v>25.424799999999998</v>
      </c>
      <c r="L134" s="96" t="n">
        <v>0.3</v>
      </c>
      <c r="M134" s="95" t="n">
        <f>K134*(1+L134)</f>
        <v>33.05224</v>
      </c>
      <c r="N134" t="str">
        <v>CAMICON · Quito</v>
      </c>
      <c r="O134" t="str">
        <v>Octubre–diciembre 2025</v>
      </c>
      <c r="P134" s="97" t="str">
        <v>REFERENCIAL QUITO · utilidad 30% provisional</v>
      </c>
      <c r="Q134" t="str">
        <v>ALBAÑILERÍA</v>
      </c>
      <c r="R134" t="str">
        <v>mamposteria de jaboncillo, 27x09x13 cm, mortero 1:6, e= 2.0 cm</v>
      </c>
    </row>
    <row r="135">
      <c r="A135" t="str">
        <v>CAM-0130</v>
      </c>
      <c r="B135" t="str">
        <v>OBRA CIVIL</v>
      </c>
      <c r="C135" t="str">
        <v>7.0112</v>
      </c>
      <c r="D135" s="97" t="str">
        <v>MAMPOSTERÍA DE LADRILLO MAMBRON 17X09X37 CM, MORTERO 1:6, E= 2.0 CM</v>
      </c>
      <c r="E135" t="str">
        <v>m²</v>
      </c>
      <c r="F135" s="95" t="n">
        <v>11.05</v>
      </c>
      <c r="G135" s="95" t="n">
        <v>7.98</v>
      </c>
      <c r="H135" s="95" t="n">
        <v>1.29</v>
      </c>
      <c r="I135" s="95" t="n">
        <v>20.32</v>
      </c>
      <c r="J135" s="96" t="n">
        <v>0.22</v>
      </c>
      <c r="K135" s="95" t="n">
        <f>I135*(1+J135)</f>
        <v>24.790399999999998</v>
      </c>
      <c r="L135" s="96" t="n">
        <v>0.3</v>
      </c>
      <c r="M135" s="95" t="n">
        <f>K135*(1+L135)</f>
        <v>32.22752</v>
      </c>
      <c r="N135" t="str">
        <v>CAMICON · Quito</v>
      </c>
      <c r="O135" t="str">
        <v>Octubre–diciembre 2025</v>
      </c>
      <c r="P135" s="97" t="str">
        <v>REFERENCIAL QUITO · utilidad 30% provisional</v>
      </c>
      <c r="Q135" t="str">
        <v>ALBAÑILERÍA</v>
      </c>
      <c r="R135" t="str">
        <v>mamposteria de ladrillo mambron 17x09x37 cm, mortero 1:6, e= 2.0 cm</v>
      </c>
    </row>
    <row r="136">
      <c r="A136" t="str">
        <v>CAM-0131</v>
      </c>
      <c r="B136" t="str">
        <v>MOBILIARIO Y MÓDULOS</v>
      </c>
      <c r="C136" t="str">
        <v>7.0113</v>
      </c>
      <c r="D136" s="97" t="str">
        <v>MESA DE COCINA HORMIGÓN ARMADO ENCOFRADO A= 0.5 M</v>
      </c>
      <c r="E136" t="str">
        <v>mtl</v>
      </c>
      <c r="F136" s="95" t="n">
        <v>25.4</v>
      </c>
      <c r="G136" s="95" t="n">
        <v>20</v>
      </c>
      <c r="H136" s="95" t="n">
        <v>1</v>
      </c>
      <c r="I136" s="95" t="n">
        <v>46.4</v>
      </c>
      <c r="J136" s="96" t="n">
        <v>0.22</v>
      </c>
      <c r="K136" s="95" t="n">
        <f>I136*(1+J136)</f>
        <v>56.608</v>
      </c>
      <c r="L136" s="96" t="n">
        <v>0.3</v>
      </c>
      <c r="M136" s="95" t="n">
        <f>K136*(1+L136)</f>
        <v>73.5904</v>
      </c>
      <c r="N136" t="str">
        <v>CAMICON · Quito</v>
      </c>
      <c r="O136" t="str">
        <v>Octubre–diciembre 2025</v>
      </c>
      <c r="P136" s="97" t="str">
        <v>REFERENCIAL QUITO · utilidad 30% provisional</v>
      </c>
      <c r="Q136" t="str">
        <v>ALBAÑILERÍA</v>
      </c>
      <c r="R136" t="str">
        <v>mesa de cocina hormigon armado encofrado a= 0.5 m</v>
      </c>
    </row>
    <row r="137">
      <c r="A137" t="str">
        <v>CAM-0132</v>
      </c>
      <c r="B137" t="str">
        <v>ACABADOS Y GYPSUM</v>
      </c>
      <c r="C137" t="str">
        <v>7.0114</v>
      </c>
      <c r="D137" s="97" t="str">
        <v>MESÓN DE COCINA HORMIGÓN ARMADO F'C = 180 KG/CM2, 150X60X5CM , INC. CERÁMICA 30X30CM</v>
      </c>
      <c r="E137" t="str">
        <v>mtl</v>
      </c>
      <c r="F137" s="95" t="n">
        <v>57.61</v>
      </c>
      <c r="G137" s="95" t="n">
        <v>63.79</v>
      </c>
      <c r="H137" s="95" t="n">
        <v>12.42</v>
      </c>
      <c r="I137" s="95" t="n">
        <v>133.82</v>
      </c>
      <c r="J137" s="96" t="n">
        <v>0.22</v>
      </c>
      <c r="K137" s="95" t="n">
        <f>I137*(1+J137)</f>
        <v>163.26039999999998</v>
      </c>
      <c r="L137" s="96" t="n">
        <v>0.3</v>
      </c>
      <c r="M137" s="95" t="n">
        <f>K137*(1+L137)</f>
        <v>212.23851999999997</v>
      </c>
      <c r="N137" t="str">
        <v>CAMICON · Quito</v>
      </c>
      <c r="O137" t="str">
        <v>Octubre–diciembre 2025</v>
      </c>
      <c r="P137" s="97" t="str">
        <v>REFERENCIAL QUITO · utilidad 30% provisional</v>
      </c>
      <c r="Q137" t="str">
        <v>ALBAÑILERÍA</v>
      </c>
      <c r="R137" t="str">
        <v>meson de cocina hormigon armado f'c = 180 kg/cm2, 150x60x5cm , inc. ceramica 30x30cm</v>
      </c>
    </row>
    <row r="138">
      <c r="A138" t="str">
        <v>CAM-0133</v>
      </c>
      <c r="B138" t="str">
        <v>OBRA CIVIL</v>
      </c>
      <c r="C138" t="str">
        <v>7.0115</v>
      </c>
      <c r="D138" s="97" t="str">
        <v>MESÓN DE COCINA DE GRANITO , 150X50X5CM</v>
      </c>
      <c r="E138" t="str">
        <v>mtl</v>
      </c>
      <c r="F138" s="95" t="n">
        <v>121.62</v>
      </c>
      <c r="G138" s="95" t="n">
        <v>62.9</v>
      </c>
      <c r="H138" s="95" t="n">
        <v>12.25</v>
      </c>
      <c r="I138" s="95" t="n">
        <v>196.77</v>
      </c>
      <c r="J138" s="96" t="n">
        <v>0.22</v>
      </c>
      <c r="K138" s="95" t="n">
        <f>I138*(1+J138)</f>
        <v>240.0594</v>
      </c>
      <c r="L138" s="96" t="n">
        <v>0.3</v>
      </c>
      <c r="M138" s="95" t="n">
        <f>K138*(1+L138)</f>
        <v>312.07722</v>
      </c>
      <c r="N138" t="str">
        <v>CAMICON · Quito</v>
      </c>
      <c r="O138" t="str">
        <v>Octubre–diciembre 2025</v>
      </c>
      <c r="P138" s="97" t="str">
        <v>REFERENCIAL QUITO · utilidad 30% provisional</v>
      </c>
      <c r="Q138" t="str">
        <v>ALBAÑILERÍA</v>
      </c>
      <c r="R138" t="str">
        <v>meson de cocina de granito , 150x50x5cm</v>
      </c>
    </row>
    <row r="139">
      <c r="A139" t="str">
        <v>CAM-0134</v>
      </c>
      <c r="B139" t="str">
        <v>OBRA CIVIL</v>
      </c>
      <c r="C139" t="str">
        <v>7.0116</v>
      </c>
      <c r="D139" s="97" t="str">
        <v>PICADO Y RESANE EN PARED DE BLOQUE (SIN ENLUCIR) PARA INSTALACIONES</v>
      </c>
      <c r="E139" t="str">
        <v>mtl</v>
      </c>
      <c r="F139" s="95" t="n">
        <v>0.3</v>
      </c>
      <c r="G139" s="95" t="n">
        <v>2.69</v>
      </c>
      <c r="H139" s="95" t="n">
        <v>0.52</v>
      </c>
      <c r="I139" s="95" t="n">
        <v>3.51</v>
      </c>
      <c r="J139" s="96" t="n">
        <v>0.22</v>
      </c>
      <c r="K139" s="95" t="n">
        <f>I139*(1+J139)</f>
        <v>4.2822</v>
      </c>
      <c r="L139" s="96" t="n">
        <v>0.3</v>
      </c>
      <c r="M139" s="95" t="n">
        <f>K139*(1+L139)</f>
        <v>5.566859999999999</v>
      </c>
      <c r="N139" t="str">
        <v>CAMICON · Quito</v>
      </c>
      <c r="O139" t="str">
        <v>Octubre–diciembre 2025</v>
      </c>
      <c r="P139" s="97" t="str">
        <v>REFERENCIAL QUITO · utilidad 30% provisional</v>
      </c>
      <c r="Q139" t="str">
        <v>ALBAÑILERÍA</v>
      </c>
      <c r="R139" t="str">
        <v>picado y resane en pared de bloque (sin enlucir) para instalaciones</v>
      </c>
    </row>
    <row r="140">
      <c r="A140" t="str">
        <v>CAM-0135</v>
      </c>
      <c r="B140" t="str">
        <v>ACABADOS Y GYPSUM</v>
      </c>
      <c r="C140" t="str">
        <v>7.0117</v>
      </c>
      <c r="D140" s="97" t="str">
        <v>PICADO Y RESANE EN PISO DE HORMIGÓN</v>
      </c>
      <c r="E140" t="str">
        <v>mtl</v>
      </c>
      <c r="F140" s="95" t="n">
        <v>3.56</v>
      </c>
      <c r="G140" s="95" t="n">
        <v>4.04</v>
      </c>
      <c r="H140" s="95" t="n">
        <v>0.79</v>
      </c>
      <c r="I140" s="95" t="n">
        <v>8.39</v>
      </c>
      <c r="J140" s="96" t="n">
        <v>0.22</v>
      </c>
      <c r="K140" s="95" t="n">
        <f>I140*(1+J140)</f>
        <v>10.235800000000001</v>
      </c>
      <c r="L140" s="96" t="n">
        <v>0.3</v>
      </c>
      <c r="M140" s="95" t="n">
        <f>K140*(1+L140)</f>
        <v>13.306540000000002</v>
      </c>
      <c r="N140" t="str">
        <v>CAMICON · Quito</v>
      </c>
      <c r="O140" t="str">
        <v>Octubre–diciembre 2025</v>
      </c>
      <c r="P140" s="97" t="str">
        <v>REFERENCIAL QUITO · utilidad 30% provisional</v>
      </c>
      <c r="Q140" t="str">
        <v>ALBAÑILERÍA</v>
      </c>
      <c r="R140" t="str">
        <v>picado y resane en piso de hormigon</v>
      </c>
    </row>
    <row r="141">
      <c r="A141" t="str">
        <v>CAM-0136</v>
      </c>
      <c r="B141" t="str">
        <v>OBRA CIVIL</v>
      </c>
      <c r="C141" t="str">
        <v>7,0201</v>
      </c>
      <c r="D141" s="97" t="str">
        <v>ENLUCIDO DE FAJAS 1:3 H=2.40M E=2CM</v>
      </c>
      <c r="E141" t="str">
        <v>mtl</v>
      </c>
      <c r="F141" s="95" t="n">
        <v>4.85</v>
      </c>
      <c r="G141" s="95" t="n">
        <v>3</v>
      </c>
      <c r="H141" s="95" t="n">
        <v>0.48</v>
      </c>
      <c r="I141" s="95" t="n">
        <v>8.33</v>
      </c>
      <c r="J141" s="96" t="n">
        <v>0.22</v>
      </c>
      <c r="K141" s="95" t="n">
        <f>I141*(1+J141)</f>
        <v>10.1626</v>
      </c>
      <c r="L141" s="96" t="n">
        <v>0.3</v>
      </c>
      <c r="M141" s="95" t="n">
        <f>K141*(1+L141)</f>
        <v>13.21138</v>
      </c>
      <c r="N141" t="str">
        <v>CAMICON · Quito</v>
      </c>
      <c r="O141" t="str">
        <v>Octubre–diciembre 2025</v>
      </c>
      <c r="P141" s="97" t="str">
        <v>REFERENCIAL QUITO · utilidad 30% provisional</v>
      </c>
      <c r="Q141" t="str">
        <v>ALBAÑILERÍA</v>
      </c>
      <c r="R141" t="str">
        <v>enlucido de fajas 1:3 h=2.40m e=2cm</v>
      </c>
    </row>
    <row r="142">
      <c r="A142" t="str">
        <v>CAM-0137</v>
      </c>
      <c r="B142" t="str">
        <v>OBRA CIVIL</v>
      </c>
      <c r="C142" t="str">
        <v>7,0202</v>
      </c>
      <c r="D142" s="97" t="str">
        <v>ENLUCIDO DE FAJAS 1:3 H=2.70M E=2CM</v>
      </c>
      <c r="E142" t="str">
        <v>mtl</v>
      </c>
      <c r="F142" s="95" t="n">
        <v>5.45</v>
      </c>
      <c r="G142" s="95" t="n">
        <v>3</v>
      </c>
      <c r="H142" s="95" t="n">
        <v>0.48</v>
      </c>
      <c r="I142" s="95" t="n">
        <v>8.93</v>
      </c>
      <c r="J142" s="96" t="n">
        <v>0.22</v>
      </c>
      <c r="K142" s="95" t="n">
        <f>I142*(1+J142)</f>
        <v>10.894599999999999</v>
      </c>
      <c r="L142" s="96" t="n">
        <v>0.3</v>
      </c>
      <c r="M142" s="95" t="n">
        <f>K142*(1+L142)</f>
        <v>14.16298</v>
      </c>
      <c r="N142" t="str">
        <v>CAMICON · Quito</v>
      </c>
      <c r="O142" t="str">
        <v>Octubre–diciembre 2025</v>
      </c>
      <c r="P142" s="97" t="str">
        <v>REFERENCIAL QUITO · utilidad 30% provisional</v>
      </c>
      <c r="Q142" t="str">
        <v>ALBAÑILERÍA</v>
      </c>
      <c r="R142" t="str">
        <v>enlucido de fajas 1:3 h=2.70m e=2cm</v>
      </c>
    </row>
    <row r="143">
      <c r="A143" t="str">
        <v>CAM-0138</v>
      </c>
      <c r="B143" t="str">
        <v>OBRA CIVIL</v>
      </c>
      <c r="C143" t="str">
        <v>7,0203</v>
      </c>
      <c r="D143" s="97" t="str">
        <v>ENLUCIDO HORIZONTAL, INC. ANDAMIOS, E= 1.5 CM</v>
      </c>
      <c r="E143" t="str">
        <v>m²</v>
      </c>
      <c r="F143" s="95" t="n">
        <v>1.06</v>
      </c>
      <c r="G143" s="95" t="n">
        <v>7.18</v>
      </c>
      <c r="H143" s="95" t="n">
        <v>1.16</v>
      </c>
      <c r="I143" s="95" t="n">
        <v>9.4</v>
      </c>
      <c r="J143" s="96" t="n">
        <v>0.22</v>
      </c>
      <c r="K143" s="95" t="n">
        <f>I143*(1+J143)</f>
        <v>11.468</v>
      </c>
      <c r="L143" s="96" t="n">
        <v>0.3</v>
      </c>
      <c r="M143" s="95" t="n">
        <f>K143*(1+L143)</f>
        <v>14.9084</v>
      </c>
      <c r="N143" t="str">
        <v>CAMICON · Quito</v>
      </c>
      <c r="O143" t="str">
        <v>Octubre–diciembre 2025</v>
      </c>
      <c r="P143" s="97" t="str">
        <v>REFERENCIAL QUITO · utilidad 30% provisional</v>
      </c>
      <c r="Q143" t="str">
        <v>ALBAÑILERÍA</v>
      </c>
      <c r="R143" t="str">
        <v>enlucido horizontal, inc. andamios, e= 1.5 cm</v>
      </c>
    </row>
    <row r="144">
      <c r="A144" t="str">
        <v>CAM-0139</v>
      </c>
      <c r="B144" t="str">
        <v>OBRA CIVIL</v>
      </c>
      <c r="C144" t="str">
        <v>7,0204</v>
      </c>
      <c r="D144" s="97" t="str">
        <v>ENLUCIDO VERTICAL INTERIOR, PALETEADO FINO, MORTERO 1:4, E= 1,50 CM</v>
      </c>
      <c r="E144" t="str">
        <v>m²</v>
      </c>
      <c r="F144" s="95" t="n">
        <v>1.06</v>
      </c>
      <c r="G144" s="95" t="n">
        <v>5.4</v>
      </c>
      <c r="H144" s="95" t="n">
        <v>0.87</v>
      </c>
      <c r="I144" s="95" t="n">
        <v>7.33</v>
      </c>
      <c r="J144" s="96" t="n">
        <v>0.22</v>
      </c>
      <c r="K144" s="95" t="n">
        <f>I144*(1+J144)</f>
        <v>8.9426</v>
      </c>
      <c r="L144" s="96" t="n">
        <v>0.3</v>
      </c>
      <c r="M144" s="95" t="n">
        <f>K144*(1+L144)</f>
        <v>11.625380000000002</v>
      </c>
      <c r="N144" t="str">
        <v>CAMICON · Quito</v>
      </c>
      <c r="O144" t="str">
        <v>Octubre–diciembre 2025</v>
      </c>
      <c r="P144" s="97" t="str">
        <v>REFERENCIAL QUITO · utilidad 30% provisional</v>
      </c>
      <c r="Q144" t="str">
        <v>ALBAÑILERÍA</v>
      </c>
      <c r="R144" t="str">
        <v>enlucido vertical interior, paleteado fino, mortero 1:4, e= 1,50 cm</v>
      </c>
    </row>
    <row r="145">
      <c r="A145" t="str">
        <v>CAM-0140</v>
      </c>
      <c r="B145" t="str">
        <v>OBRA CIVIL</v>
      </c>
      <c r="C145" t="str">
        <v>7,0205</v>
      </c>
      <c r="D145" s="97" t="str">
        <v>ENLUCIDO VERTICAL LISO EXTERIOR, MORTERO 1:4 CON IMPERMEABILIZANTE</v>
      </c>
      <c r="E145" t="str">
        <v>m²</v>
      </c>
      <c r="F145" s="95" t="n">
        <v>1.47</v>
      </c>
      <c r="G145" s="95" t="n">
        <v>7.18</v>
      </c>
      <c r="H145" s="95" t="n">
        <v>1.16</v>
      </c>
      <c r="I145" s="95" t="n">
        <v>9.81</v>
      </c>
      <c r="J145" s="96" t="n">
        <v>0.22</v>
      </c>
      <c r="K145" s="95" t="n">
        <f>I145*(1+J145)</f>
        <v>11.9682</v>
      </c>
      <c r="L145" s="96" t="n">
        <v>0.3</v>
      </c>
      <c r="M145" s="95" t="n">
        <f>K145*(1+L145)</f>
        <v>15.55866</v>
      </c>
      <c r="N145" t="str">
        <v>CAMICON · Quito</v>
      </c>
      <c r="O145" t="str">
        <v>Octubre–diciembre 2025</v>
      </c>
      <c r="P145" s="97" t="str">
        <v>REFERENCIAL QUITO · utilidad 30% provisional</v>
      </c>
      <c r="Q145" t="str">
        <v>ALBAÑILERÍA</v>
      </c>
      <c r="R145" t="str">
        <v>enlucido vertical liso exterior, mortero 1:4 con impermeabilizante</v>
      </c>
    </row>
    <row r="146">
      <c r="A146" t="str">
        <v>CAM-0141</v>
      </c>
      <c r="B146" t="str">
        <v>OBRA CIVIL</v>
      </c>
      <c r="C146" t="str">
        <v>7,0206</v>
      </c>
      <c r="D146" s="97" t="str">
        <v>MEDIA CAÑA E= 10 -15 MM</v>
      </c>
      <c r="E146" t="str">
        <v>mtl</v>
      </c>
      <c r="F146" s="95" t="n">
        <v>0.38</v>
      </c>
      <c r="G146" s="95" t="n">
        <v>2.69</v>
      </c>
      <c r="H146" s="95" t="n">
        <v>0.43</v>
      </c>
      <c r="I146" s="95" t="n">
        <v>3.5</v>
      </c>
      <c r="J146" s="96" t="n">
        <v>0.22</v>
      </c>
      <c r="K146" s="95" t="n">
        <f>I146*(1+J146)</f>
        <v>4.27</v>
      </c>
      <c r="L146" s="96" t="n">
        <v>0.3</v>
      </c>
      <c r="M146" s="95" t="n">
        <f>K146*(1+L146)</f>
        <v>5.550999999999999</v>
      </c>
      <c r="N146" t="str">
        <v>CAMICON · Quito</v>
      </c>
      <c r="O146" t="str">
        <v>Octubre–diciembre 2025</v>
      </c>
      <c r="P146" s="97" t="str">
        <v>REFERENCIAL QUITO · utilidad 30% provisional</v>
      </c>
      <c r="Q146" t="str">
        <v>ALBAÑILERÍA</v>
      </c>
      <c r="R146" t="str">
        <v>media cana e= 10 -15 mm</v>
      </c>
    </row>
    <row r="147">
      <c r="A147" t="str">
        <v>CAM-0142</v>
      </c>
      <c r="B147" t="str">
        <v>OBRA CIVIL</v>
      </c>
      <c r="C147" t="str">
        <v>7,0207</v>
      </c>
      <c r="D147" s="97" t="str">
        <v>SELLADO PARA JUNTAS EN MAMPOSTERÍA 2X10 MM</v>
      </c>
      <c r="E147" t="str">
        <v>mtl</v>
      </c>
      <c r="F147" s="95" t="n">
        <v>0.79</v>
      </c>
      <c r="G147" s="95" t="n">
        <v>0.37</v>
      </c>
      <c r="H147" s="95" t="n">
        <v>0.02</v>
      </c>
      <c r="I147" s="95" t="n">
        <v>1.18</v>
      </c>
      <c r="J147" s="96" t="n">
        <v>0.22</v>
      </c>
      <c r="K147" s="95" t="n">
        <f>I147*(1+J147)</f>
        <v>1.4396</v>
      </c>
      <c r="L147" s="96" t="n">
        <v>0.3</v>
      </c>
      <c r="M147" s="95" t="n">
        <f>K147*(1+L147)</f>
        <v>1.87148</v>
      </c>
      <c r="N147" t="str">
        <v>CAMICON · Quito</v>
      </c>
      <c r="O147" t="str">
        <v>Octubre–diciembre 2025</v>
      </c>
      <c r="P147" s="97" t="str">
        <v>REFERENCIAL QUITO · utilidad 30% provisional</v>
      </c>
      <c r="Q147" t="str">
        <v>ALBAÑILERÍA</v>
      </c>
      <c r="R147" t="str">
        <v>sellado para juntas en mamposteria 2x10 mm</v>
      </c>
    </row>
    <row r="148">
      <c r="A148" t="str">
        <v>CAM-0143</v>
      </c>
      <c r="B148" t="str">
        <v>ACABADOS Y GYPSUM</v>
      </c>
      <c r="C148" t="str">
        <v>7,0301</v>
      </c>
      <c r="D148" s="97" t="str">
        <v>CONTRAPISO H.S F´C=180 KG/CM2 E= 6CM (INC. PIEDRA BOLA E=10 CM, POLIETILENO)</v>
      </c>
      <c r="E148" t="str">
        <v>m²</v>
      </c>
      <c r="F148" s="95" t="n">
        <v>7.09</v>
      </c>
      <c r="G148" s="95" t="n">
        <v>10.38</v>
      </c>
      <c r="H148" s="95" t="n">
        <v>2.39</v>
      </c>
      <c r="I148" s="95" t="n">
        <v>19.86</v>
      </c>
      <c r="J148" s="96" t="n">
        <v>0.22</v>
      </c>
      <c r="K148" s="95" t="n">
        <f>I148*(1+J148)</f>
        <v>24.2292</v>
      </c>
      <c r="L148" s="96" t="n">
        <v>0.3</v>
      </c>
      <c r="M148" s="95" t="n">
        <f>K148*(1+L148)</f>
        <v>31.49796</v>
      </c>
      <c r="N148" t="str">
        <v>CAMICON · Quito</v>
      </c>
      <c r="O148" t="str">
        <v>Octubre–diciembre 2025</v>
      </c>
      <c r="P148" s="97" t="str">
        <v>REFERENCIAL QUITO · utilidad 30% provisional</v>
      </c>
      <c r="Q148" t="str">
        <v>ALBAÑILERÍA</v>
      </c>
      <c r="R148" t="str">
        <v>contrapiso h.s f´c=180 kg/cm2 e= 6cm (inc. piedra bola e=10 cm, polietileno)</v>
      </c>
    </row>
    <row r="149">
      <c r="A149" t="str">
        <v>CAM-0144</v>
      </c>
      <c r="B149" t="str">
        <v>ACABADOS Y GYPSUM</v>
      </c>
      <c r="C149" t="str">
        <v>7,0302</v>
      </c>
      <c r="D149" s="97" t="str">
        <v>CONTRAPISO H.S F´C=180 KG/CM2 E= 8CM (INC. PIEDRA BOLA E=10 CM, POLIETILENO Y MALLA ELECTROSOLDADA)</v>
      </c>
      <c r="E149" t="str">
        <v>m²</v>
      </c>
      <c r="F149" s="95" t="n">
        <v>12.75</v>
      </c>
      <c r="G149" s="95" t="n">
        <v>8.67</v>
      </c>
      <c r="H149" s="95" t="n">
        <v>2.3</v>
      </c>
      <c r="I149" s="95" t="n">
        <v>23.72</v>
      </c>
      <c r="J149" s="96" t="n">
        <v>0.22</v>
      </c>
      <c r="K149" s="95" t="n">
        <f>I149*(1+J149)</f>
        <v>28.938399999999998</v>
      </c>
      <c r="L149" s="96" t="n">
        <v>0.3</v>
      </c>
      <c r="M149" s="95" t="n">
        <f>K149*(1+L149)</f>
        <v>37.61992</v>
      </c>
      <c r="N149" t="str">
        <v>CAMICON · Quito</v>
      </c>
      <c r="O149" t="str">
        <v>Octubre–diciembre 2025</v>
      </c>
      <c r="P149" s="97" t="str">
        <v>REFERENCIAL QUITO · utilidad 30% provisional</v>
      </c>
      <c r="Q149" t="str">
        <v>ALBAÑILERÍA</v>
      </c>
      <c r="R149" t="str">
        <v>contrapiso h.s f´c=180 kg/cm2 e= 8cm (inc. piedra bola e=10 cm, polietileno y malla electrosoldada)</v>
      </c>
    </row>
    <row r="150">
      <c r="A150" t="str">
        <v>CAM-0145</v>
      </c>
      <c r="B150" t="str">
        <v>ACABADOS Y GYPSUM</v>
      </c>
      <c r="C150" t="str">
        <v>7,0303</v>
      </c>
      <c r="D150" s="97" t="str">
        <v>MASILLADO ALISADO DE PISOS, MORTERO 1:3, E= 1 CM</v>
      </c>
      <c r="E150" t="str">
        <v>m²</v>
      </c>
      <c r="F150" s="95" t="n">
        <v>1.01</v>
      </c>
      <c r="G150" s="95" t="n">
        <v>3.15</v>
      </c>
      <c r="H150" s="95" t="n">
        <v>1.8</v>
      </c>
      <c r="I150" s="95" t="n">
        <v>5.96</v>
      </c>
      <c r="J150" s="96" t="n">
        <v>0.22</v>
      </c>
      <c r="K150" s="95" t="n">
        <f>I150*(1+J150)</f>
        <v>7.271199999999999</v>
      </c>
      <c r="L150" s="96" t="n">
        <v>0.3</v>
      </c>
      <c r="M150" s="95" t="n">
        <f>K150*(1+L150)</f>
        <v>9.45256</v>
      </c>
      <c r="N150" t="str">
        <v>CAMICON · Quito</v>
      </c>
      <c r="O150" t="str">
        <v>Octubre–diciembre 2025</v>
      </c>
      <c r="P150" s="97" t="str">
        <v>REFERENCIAL QUITO · utilidad 30% provisional</v>
      </c>
      <c r="Q150" t="str">
        <v>ALBAÑILERÍA</v>
      </c>
      <c r="R150" t="str">
        <v>masillado alisado de pisos, mortero 1:3, e= 1 cm</v>
      </c>
    </row>
    <row r="151">
      <c r="A151" t="str">
        <v>CAM-0146</v>
      </c>
      <c r="B151" t="str">
        <v>OBRA CIVIL</v>
      </c>
      <c r="C151" t="str">
        <v>7,0304</v>
      </c>
      <c r="D151" s="97" t="str">
        <v>MASILLADO EN LOSA + IMPERMEABILIZANTE, E= 3 CM, MORTERO 1:3</v>
      </c>
      <c r="E151" t="str">
        <v>m²</v>
      </c>
      <c r="F151" s="95" t="n">
        <v>3.28</v>
      </c>
      <c r="G151" s="95" t="n">
        <v>5.28</v>
      </c>
      <c r="H151" s="95" t="n">
        <v>2.13</v>
      </c>
      <c r="I151" s="95" t="n">
        <v>10.69</v>
      </c>
      <c r="J151" s="96" t="n">
        <v>0.22</v>
      </c>
      <c r="K151" s="95" t="n">
        <f>I151*(1+J151)</f>
        <v>13.041799999999999</v>
      </c>
      <c r="L151" s="96" t="n">
        <v>0.3</v>
      </c>
      <c r="M151" s="95" t="n">
        <f>K151*(1+L151)</f>
        <v>16.95434</v>
      </c>
      <c r="N151" t="str">
        <v>CAMICON · Quito</v>
      </c>
      <c r="O151" t="str">
        <v>Octubre–diciembre 2025</v>
      </c>
      <c r="P151" s="97" t="str">
        <v>REFERENCIAL QUITO · utilidad 30% provisional</v>
      </c>
      <c r="Q151" t="str">
        <v>ALBAÑILERÍA</v>
      </c>
      <c r="R151" t="str">
        <v>masillado en losa + impermeabilizante, e= 3 cm, mortero 1:3</v>
      </c>
    </row>
    <row r="152">
      <c r="A152" t="str">
        <v>CAM-0147</v>
      </c>
      <c r="B152" t="str">
        <v>ACABADOS Y GYPSUM</v>
      </c>
      <c r="C152" t="str">
        <v>7,0305</v>
      </c>
      <c r="D152" s="97" t="str">
        <v>MASILLADO PISO CON MORTERO 1:3 Y ENDURECEDOR CUARZO PARA PISOS INDUSTRIALES</v>
      </c>
      <c r="E152" t="str">
        <v>m²</v>
      </c>
      <c r="F152" s="95" t="n">
        <v>2.54</v>
      </c>
      <c r="G152" s="95" t="n">
        <v>3.15</v>
      </c>
      <c r="H152" s="95" t="n">
        <v>3.99</v>
      </c>
      <c r="I152" s="95" t="n">
        <v>9.68</v>
      </c>
      <c r="J152" s="96" t="n">
        <v>0.22</v>
      </c>
      <c r="K152" s="95" t="n">
        <f>I152*(1+J152)</f>
        <v>11.8096</v>
      </c>
      <c r="L152" s="96" t="n">
        <v>0.3</v>
      </c>
      <c r="M152" s="95" t="n">
        <f>K152*(1+L152)</f>
        <v>15.35248</v>
      </c>
      <c r="N152" t="str">
        <v>CAMICON · Quito</v>
      </c>
      <c r="O152" t="str">
        <v>Octubre–diciembre 2025</v>
      </c>
      <c r="P152" s="97" t="str">
        <v>REFERENCIAL QUITO · utilidad 30% provisional</v>
      </c>
      <c r="Q152" t="str">
        <v>ALBAÑILERÍA</v>
      </c>
      <c r="R152" t="str">
        <v>masillado piso con mortero 1:3 y endurecedor cuarzo para pisos industriales</v>
      </c>
    </row>
    <row r="153">
      <c r="A153" t="str">
        <v>CAM-0148</v>
      </c>
      <c r="B153" t="str">
        <v>ACABADOS Y GYPSUM</v>
      </c>
      <c r="C153" t="str">
        <v>8,0101</v>
      </c>
      <c r="D153" s="97" t="str">
        <v>ALFOMBRA TIPO RESIDENCIAL</v>
      </c>
      <c r="E153" t="str">
        <v>m²</v>
      </c>
      <c r="F153" s="95" t="n">
        <v>28.35</v>
      </c>
      <c r="G153" s="95" t="n">
        <v>2.4</v>
      </c>
      <c r="H153" s="95" t="n">
        <v>0.12</v>
      </c>
      <c r="I153" s="95" t="n">
        <v>30.87</v>
      </c>
      <c r="J153" s="96" t="n">
        <v>0.22</v>
      </c>
      <c r="K153" s="95" t="n">
        <f>I153*(1+J153)</f>
        <v>37.6614</v>
      </c>
      <c r="L153" s="96" t="n">
        <v>0.3</v>
      </c>
      <c r="M153" s="95" t="n">
        <f>K153*(1+L153)</f>
        <v>48.95982</v>
      </c>
      <c r="N153" t="str">
        <v>CAMICON · Quito</v>
      </c>
      <c r="O153" t="str">
        <v>Octubre–diciembre 2025</v>
      </c>
      <c r="P153" s="97" t="str">
        <v>REFERENCIAL QUITO · utilidad 30% provisional</v>
      </c>
      <c r="Q153" t="str">
        <v>RECUBRIMIENTOS</v>
      </c>
      <c r="R153" t="str">
        <v>alfombra tipo residencial</v>
      </c>
    </row>
    <row r="154">
      <c r="A154" t="str">
        <v>CAM-0149</v>
      </c>
      <c r="B154" t="str">
        <v>ACABADOS Y GYPSUM</v>
      </c>
      <c r="C154" t="str">
        <v>8,0102</v>
      </c>
      <c r="D154" s="97" t="str">
        <v>BALDOSA DE GRANITO FONDO GRIS</v>
      </c>
      <c r="E154" t="str">
        <v>m²</v>
      </c>
      <c r="F154" s="95" t="n">
        <v>9.26</v>
      </c>
      <c r="G154" s="95" t="n">
        <v>6.74</v>
      </c>
      <c r="H154" s="95" t="n">
        <v>2.16</v>
      </c>
      <c r="I154" s="95" t="n">
        <v>18.16</v>
      </c>
      <c r="J154" s="96" t="n">
        <v>0.22</v>
      </c>
      <c r="K154" s="95" t="n">
        <f>I154*(1+J154)</f>
        <v>22.1552</v>
      </c>
      <c r="L154" s="96" t="n">
        <v>0.3</v>
      </c>
      <c r="M154" s="95" t="n">
        <f>K154*(1+L154)</f>
        <v>28.80176</v>
      </c>
      <c r="N154" t="str">
        <v>CAMICON · Quito</v>
      </c>
      <c r="O154" t="str">
        <v>Octubre–diciembre 2025</v>
      </c>
      <c r="P154" s="97" t="str">
        <v>REFERENCIAL QUITO · utilidad 30% provisional</v>
      </c>
      <c r="Q154" t="str">
        <v>RECUBRIMIENTOS</v>
      </c>
      <c r="R154" t="str">
        <v>baldosa de granito fondo gris</v>
      </c>
    </row>
    <row r="155">
      <c r="A155" t="str">
        <v>CAM-0150</v>
      </c>
      <c r="B155" t="str">
        <v>ACABADOS Y GYPSUM</v>
      </c>
      <c r="C155" t="str">
        <v>8,0103</v>
      </c>
      <c r="D155" s="97" t="str">
        <v>BALDOSA DE GRES 30X30CM</v>
      </c>
      <c r="E155" t="str">
        <v>m²</v>
      </c>
      <c r="F155" s="95" t="n">
        <v>22.44</v>
      </c>
      <c r="G155" s="95" t="n">
        <v>6.33</v>
      </c>
      <c r="H155" s="95" t="n">
        <v>0.5</v>
      </c>
      <c r="I155" s="95" t="n">
        <v>29.27</v>
      </c>
      <c r="J155" s="96" t="n">
        <v>0.22</v>
      </c>
      <c r="K155" s="95" t="n">
        <f>I155*(1+J155)</f>
        <v>35.7094</v>
      </c>
      <c r="L155" s="96" t="n">
        <v>0.3</v>
      </c>
      <c r="M155" s="95" t="n">
        <f>K155*(1+L155)</f>
        <v>46.42222</v>
      </c>
      <c r="N155" t="str">
        <v>CAMICON · Quito</v>
      </c>
      <c r="O155" t="str">
        <v>Octubre–diciembre 2025</v>
      </c>
      <c r="P155" s="97" t="str">
        <v>REFERENCIAL QUITO · utilidad 30% provisional</v>
      </c>
      <c r="Q155" t="str">
        <v>RECUBRIMIENTOS</v>
      </c>
      <c r="R155" t="str">
        <v>baldosa de gres 30x30cm</v>
      </c>
    </row>
    <row r="156">
      <c r="A156" t="str">
        <v>CAM-0151</v>
      </c>
      <c r="B156" t="str">
        <v>ACABADOS Y GYPSUM</v>
      </c>
      <c r="C156" t="str">
        <v>8,0104</v>
      </c>
      <c r="D156" s="97" t="str">
        <v>BARREDERA DE CAUCHO H= 8CM</v>
      </c>
      <c r="E156" t="str">
        <v>mtl</v>
      </c>
      <c r="F156" s="95" t="n">
        <v>1.89</v>
      </c>
      <c r="G156" s="95" t="n">
        <v>2.4</v>
      </c>
      <c r="H156" s="95" t="n">
        <v>0.12</v>
      </c>
      <c r="I156" s="95" t="n">
        <v>4.41</v>
      </c>
      <c r="J156" s="96" t="n">
        <v>0.22</v>
      </c>
      <c r="K156" s="95" t="n">
        <f>I156*(1+J156)</f>
        <v>5.3802</v>
      </c>
      <c r="L156" s="96" t="n">
        <v>0.3</v>
      </c>
      <c r="M156" s="95" t="n">
        <f>K156*(1+L156)</f>
        <v>6.994260000000001</v>
      </c>
      <c r="N156" t="str">
        <v>CAMICON · Quito</v>
      </c>
      <c r="O156" t="str">
        <v>Octubre–diciembre 2025</v>
      </c>
      <c r="P156" s="97" t="str">
        <v>REFERENCIAL QUITO · utilidad 30% provisional</v>
      </c>
      <c r="Q156" t="str">
        <v>RECUBRIMIENTOS</v>
      </c>
      <c r="R156" t="str">
        <v>barredera de caucho h= 8cm</v>
      </c>
    </row>
    <row r="157">
      <c r="A157" t="str">
        <v>CAM-0152</v>
      </c>
      <c r="B157" t="str">
        <v>ACABADOS Y GYPSUM</v>
      </c>
      <c r="C157" t="str">
        <v>8,0105</v>
      </c>
      <c r="D157" s="97" t="str">
        <v>BARREDERA DE SEIKE LACADA H= 6CM</v>
      </c>
      <c r="E157" t="str">
        <v>mtl</v>
      </c>
      <c r="F157" s="95" t="n">
        <v>6.33</v>
      </c>
      <c r="G157" s="95" t="n">
        <v>2.77</v>
      </c>
      <c r="H157" s="95" t="n">
        <v>0.14</v>
      </c>
      <c r="I157" s="95" t="n">
        <v>9.24</v>
      </c>
      <c r="J157" s="96" t="n">
        <v>0.22</v>
      </c>
      <c r="K157" s="95" t="n">
        <f>I157*(1+J157)</f>
        <v>11.2728</v>
      </c>
      <c r="L157" s="96" t="n">
        <v>0.3</v>
      </c>
      <c r="M157" s="95" t="n">
        <f>K157*(1+L157)</f>
        <v>14.65464</v>
      </c>
      <c r="N157" t="str">
        <v>CAMICON · Quito</v>
      </c>
      <c r="O157" t="str">
        <v>Octubre–diciembre 2025</v>
      </c>
      <c r="P157" s="97" t="str">
        <v>REFERENCIAL QUITO · utilidad 30% provisional</v>
      </c>
      <c r="Q157" t="str">
        <v>RECUBRIMIENTOS</v>
      </c>
      <c r="R157" t="str">
        <v>barredera de seike lacada h= 6cm</v>
      </c>
    </row>
    <row r="158">
      <c r="A158" t="str">
        <v>CAM-0153</v>
      </c>
      <c r="B158" t="str">
        <v>ACABADOS Y GYPSUM</v>
      </c>
      <c r="C158" t="str">
        <v>8,0106</v>
      </c>
      <c r="D158" s="97" t="str">
        <v>BARREDERA DE PISO FLOTANTE H= 8CM</v>
      </c>
      <c r="E158" t="str">
        <v>mtl</v>
      </c>
      <c r="F158" s="95" t="n">
        <v>4.75</v>
      </c>
      <c r="G158" s="95" t="n">
        <v>2.25</v>
      </c>
      <c r="H158" s="95" t="n">
        <v>0.11</v>
      </c>
      <c r="I158" s="95" t="n">
        <v>7.11</v>
      </c>
      <c r="J158" s="96" t="n">
        <v>0.22</v>
      </c>
      <c r="K158" s="95" t="n">
        <f>I158*(1+J158)</f>
        <v>8.6742</v>
      </c>
      <c r="L158" s="96" t="n">
        <v>0.3</v>
      </c>
      <c r="M158" s="95" t="n">
        <f>K158*(1+L158)</f>
        <v>11.276460000000002</v>
      </c>
      <c r="N158" t="str">
        <v>CAMICON · Quito</v>
      </c>
      <c r="O158" t="str">
        <v>Octubre–diciembre 2025</v>
      </c>
      <c r="P158" s="97" t="str">
        <v>REFERENCIAL QUITO · utilidad 30% provisional</v>
      </c>
      <c r="Q158" t="str">
        <v>RECUBRIMIENTOS</v>
      </c>
      <c r="R158" t="str">
        <v>barredera de piso flotante h= 8cm</v>
      </c>
    </row>
    <row r="159">
      <c r="A159" t="str">
        <v>CAM-0154</v>
      </c>
      <c r="B159" t="str">
        <v>ACABADOS Y GYPSUM</v>
      </c>
      <c r="C159" t="str">
        <v>8,0107</v>
      </c>
      <c r="D159" s="97" t="str">
        <v>CERÁMICA NACIONAL PARA PISOS 30X30CM</v>
      </c>
      <c r="E159" t="str">
        <v>m²</v>
      </c>
      <c r="F159" s="95" t="n">
        <v>9.65</v>
      </c>
      <c r="G159" s="95" t="n">
        <v>6.3</v>
      </c>
      <c r="H159" s="95" t="n">
        <v>1.23</v>
      </c>
      <c r="I159" s="95" t="n">
        <v>17.18</v>
      </c>
      <c r="J159" s="96" t="n">
        <v>0.22</v>
      </c>
      <c r="K159" s="95" t="n">
        <f>I159*(1+J159)</f>
        <v>20.9596</v>
      </c>
      <c r="L159" s="96" t="n">
        <v>0.3</v>
      </c>
      <c r="M159" s="95" t="n">
        <f>K159*(1+L159)</f>
        <v>27.24748</v>
      </c>
      <c r="N159" t="str">
        <v>CAMICON · Quito</v>
      </c>
      <c r="O159" t="str">
        <v>Octubre–diciembre 2025</v>
      </c>
      <c r="P159" s="97" t="str">
        <v>REFERENCIAL QUITO · utilidad 30% provisional</v>
      </c>
      <c r="Q159" t="str">
        <v>RECUBRIMIENTOS</v>
      </c>
      <c r="R159" t="str">
        <v>ceramica nacional para pisos 30x30cm</v>
      </c>
    </row>
    <row r="160">
      <c r="A160" t="str">
        <v>CAM-0155</v>
      </c>
      <c r="B160" t="str">
        <v>ACABADOS Y GYPSUM</v>
      </c>
      <c r="C160" t="str">
        <v>8,0108</v>
      </c>
      <c r="D160" s="97" t="str">
        <v>DUELA DE EUCALIPTO A=10CM Y E=2CM, PULIDO LACADO</v>
      </c>
      <c r="E160" t="str">
        <v>m²</v>
      </c>
      <c r="F160" s="95" t="n">
        <v>31.08</v>
      </c>
      <c r="G160" s="95" t="n">
        <v>13.48</v>
      </c>
      <c r="H160" s="95" t="n">
        <v>1.01</v>
      </c>
      <c r="I160" s="95" t="n">
        <v>45.57</v>
      </c>
      <c r="J160" s="96" t="n">
        <v>0.22</v>
      </c>
      <c r="K160" s="95" t="n">
        <f>I160*(1+J160)</f>
        <v>55.5954</v>
      </c>
      <c r="L160" s="96" t="n">
        <v>0.3</v>
      </c>
      <c r="M160" s="95" t="n">
        <f>K160*(1+L160)</f>
        <v>72.27402</v>
      </c>
      <c r="N160" t="str">
        <v>CAMICON · Quito</v>
      </c>
      <c r="O160" t="str">
        <v>Octubre–diciembre 2025</v>
      </c>
      <c r="P160" s="97" t="str">
        <v>REFERENCIAL QUITO · utilidad 30% provisional</v>
      </c>
      <c r="Q160" t="str">
        <v>RECUBRIMIENTOS</v>
      </c>
      <c r="R160" t="str">
        <v>duela de eucalipto a=10cm y e=2cm, pulido lacado</v>
      </c>
    </row>
    <row r="161">
      <c r="A161" t="str">
        <v>CAM-0156</v>
      </c>
      <c r="B161" t="str">
        <v>ACABADOS Y GYPSUM</v>
      </c>
      <c r="C161" t="str">
        <v>8,0109</v>
      </c>
      <c r="D161" s="97" t="str">
        <v>ENCEMENTADO EXTERIOR, MORTERO 1:3 ,E= 3CM</v>
      </c>
      <c r="E161" t="str">
        <v>m²</v>
      </c>
      <c r="F161" s="95" t="n">
        <v>3.04</v>
      </c>
      <c r="G161" s="95" t="n">
        <v>8.56</v>
      </c>
      <c r="H161" s="95" t="n">
        <v>0.43</v>
      </c>
      <c r="I161" s="95" t="n">
        <v>12.03</v>
      </c>
      <c r="J161" s="96" t="n">
        <v>0.22</v>
      </c>
      <c r="K161" s="95" t="n">
        <f>I161*(1+J161)</f>
        <v>14.676599999999999</v>
      </c>
      <c r="L161" s="96" t="n">
        <v>0.3</v>
      </c>
      <c r="M161" s="95" t="n">
        <f>K161*(1+L161)</f>
        <v>19.07958</v>
      </c>
      <c r="N161" t="str">
        <v>CAMICON · Quito</v>
      </c>
      <c r="O161" t="str">
        <v>Octubre–diciembre 2025</v>
      </c>
      <c r="P161" s="97" t="str">
        <v>REFERENCIAL QUITO · utilidad 30% provisional</v>
      </c>
      <c r="Q161" t="str">
        <v>RECUBRIMIENTOS</v>
      </c>
      <c r="R161" t="str">
        <v>encementado exterior, mortero 1:3 ,e= 3cm</v>
      </c>
    </row>
    <row r="162">
      <c r="A162" t="str">
        <v>CAM-0157</v>
      </c>
      <c r="B162" t="str">
        <v>ACABADOS Y GYPSUM</v>
      </c>
      <c r="C162" t="str">
        <v>8.0110</v>
      </c>
      <c r="D162" s="97" t="str">
        <v>PINTURA PARA PISO DE TRAFICO LIGERO (PARQUEADEROS)</v>
      </c>
      <c r="E162" t="str">
        <v>m²</v>
      </c>
      <c r="F162" s="95" t="n">
        <v>1.61</v>
      </c>
      <c r="G162" s="95" t="n">
        <v>3.43</v>
      </c>
      <c r="H162" s="95" t="n">
        <v>0.17</v>
      </c>
      <c r="I162" s="95" t="n">
        <v>5.21</v>
      </c>
      <c r="J162" s="96" t="n">
        <v>0.22</v>
      </c>
      <c r="K162" s="95" t="n">
        <f>I162*(1+J162)</f>
        <v>6.356199999999999</v>
      </c>
      <c r="L162" s="96" t="n">
        <v>0.3</v>
      </c>
      <c r="M162" s="95" t="n">
        <f>K162*(1+L162)</f>
        <v>8.26306</v>
      </c>
      <c r="N162" t="str">
        <v>CAMICON · Quito</v>
      </c>
      <c r="O162" t="str">
        <v>Octubre–diciembre 2025</v>
      </c>
      <c r="P162" s="97" t="str">
        <v>REFERENCIAL QUITO · utilidad 30% provisional</v>
      </c>
      <c r="Q162" t="str">
        <v>RECUBRIMIENTOS</v>
      </c>
      <c r="R162" t="str">
        <v>pintura para piso de trafico ligero (parqueaderos)</v>
      </c>
    </row>
    <row r="163">
      <c r="A163" t="str">
        <v>CAM-0158</v>
      </c>
      <c r="B163" t="str">
        <v>ACABADOS Y GYPSUM</v>
      </c>
      <c r="C163" t="str">
        <v>8,0111</v>
      </c>
      <c r="D163" s="97" t="str">
        <v>PISO DE BAMBÚ DE 1200</v>
      </c>
      <c r="E163" t="str">
        <v>m²</v>
      </c>
      <c r="F163" s="95" t="n">
        <v>51.41</v>
      </c>
      <c r="G163" s="95" t="n">
        <v>5.4</v>
      </c>
      <c r="H163" s="95" t="n">
        <v>2.15</v>
      </c>
      <c r="I163" s="95" t="n">
        <v>58.96</v>
      </c>
      <c r="J163" s="96" t="n">
        <v>0.22</v>
      </c>
      <c r="K163" s="95" t="n">
        <f>I163*(1+J163)</f>
        <v>71.9312</v>
      </c>
      <c r="L163" s="96" t="n">
        <v>0.3</v>
      </c>
      <c r="M163" s="95" t="n">
        <f>K163*(1+L163)</f>
        <v>93.51056000000001</v>
      </c>
      <c r="N163" t="str">
        <v>CAMICON · Quito</v>
      </c>
      <c r="O163" t="str">
        <v>Octubre–diciembre 2025</v>
      </c>
      <c r="P163" s="97" t="str">
        <v>REFERENCIAL QUITO · utilidad 30% provisional</v>
      </c>
      <c r="Q163" t="str">
        <v>RECUBRIMIENTOS</v>
      </c>
      <c r="R163" t="str">
        <v>piso de bambu de 1200</v>
      </c>
    </row>
    <row r="164">
      <c r="A164" t="str">
        <v>CAM-0159</v>
      </c>
      <c r="B164" t="str">
        <v>ACABADOS Y GYPSUM</v>
      </c>
      <c r="C164" t="str">
        <v>8,0112</v>
      </c>
      <c r="D164" s="97" t="str">
        <v>PISO FLOTANTE 8 MM</v>
      </c>
      <c r="E164" t="str">
        <v>m²</v>
      </c>
      <c r="F164" s="95" t="n">
        <v>16.79</v>
      </c>
      <c r="G164" s="95" t="n">
        <v>1.49</v>
      </c>
      <c r="H164" s="95" t="n">
        <v>0.38</v>
      </c>
      <c r="I164" s="95" t="n">
        <v>18.66</v>
      </c>
      <c r="J164" s="96" t="n">
        <v>0.22</v>
      </c>
      <c r="K164" s="95" t="n">
        <f>I164*(1+J164)</f>
        <v>22.7652</v>
      </c>
      <c r="L164" s="96" t="n">
        <v>0.3</v>
      </c>
      <c r="M164" s="95" t="n">
        <f>K164*(1+L164)</f>
        <v>29.59476</v>
      </c>
      <c r="N164" t="str">
        <v>CAMICON · Quito</v>
      </c>
      <c r="O164" t="str">
        <v>Octubre–diciembre 2025</v>
      </c>
      <c r="P164" s="97" t="str">
        <v>REFERENCIAL QUITO · utilidad 30% provisional</v>
      </c>
      <c r="Q164" t="str">
        <v>RECUBRIMIENTOS</v>
      </c>
      <c r="R164" t="str">
        <v>piso flotante 8 mm</v>
      </c>
    </row>
    <row r="165">
      <c r="A165" t="str">
        <v>CAM-0160</v>
      </c>
      <c r="B165" t="str">
        <v>ACABADOS Y GYPSUM</v>
      </c>
      <c r="C165" t="str">
        <v>8,0113</v>
      </c>
      <c r="D165" s="97" t="str">
        <v>PORCELANATO NACIONAL EN PISO DE 50X50CM</v>
      </c>
      <c r="E165" t="str">
        <v>m²</v>
      </c>
      <c r="F165" s="95" t="n">
        <v>14.78</v>
      </c>
      <c r="G165" s="95" t="n">
        <v>7.18</v>
      </c>
      <c r="H165" s="95" t="n">
        <v>1.4</v>
      </c>
      <c r="I165" s="95" t="n">
        <v>23.36</v>
      </c>
      <c r="J165" s="96" t="n">
        <v>0.22</v>
      </c>
      <c r="K165" s="95" t="n">
        <f>I165*(1+J165)</f>
        <v>28.4992</v>
      </c>
      <c r="L165" s="96" t="n">
        <v>0.3</v>
      </c>
      <c r="M165" s="95" t="n">
        <f>K165*(1+L165)</f>
        <v>37.04896</v>
      </c>
      <c r="N165" t="str">
        <v>CAMICON · Quito</v>
      </c>
      <c r="O165" t="str">
        <v>Octubre–diciembre 2025</v>
      </c>
      <c r="P165" s="97" t="str">
        <v>REFERENCIAL QUITO · utilidad 30% provisional</v>
      </c>
      <c r="Q165" t="str">
        <v>RECUBRIMIENTOS</v>
      </c>
      <c r="R165" t="str">
        <v>porcelanato nacional en piso de 50x50cm</v>
      </c>
    </row>
    <row r="166">
      <c r="A166" t="str">
        <v>CAM-0161</v>
      </c>
      <c r="B166" t="str">
        <v>ACABADOS Y GYPSUM</v>
      </c>
      <c r="C166" t="str">
        <v>8,0114</v>
      </c>
      <c r="D166" s="97" t="str">
        <v>RECUBRIMIENTO DE PISO INDUSTRIAL CON PINTURA EPÓXICA</v>
      </c>
      <c r="E166" t="str">
        <v>m²</v>
      </c>
      <c r="F166" s="95" t="n">
        <v>11.21</v>
      </c>
      <c r="G166" s="95" t="n">
        <v>1.81</v>
      </c>
      <c r="H166" s="95" t="n">
        <v>0.09</v>
      </c>
      <c r="I166" s="95" t="n">
        <v>13.11</v>
      </c>
      <c r="J166" s="96" t="n">
        <v>0.22</v>
      </c>
      <c r="K166" s="95" t="n">
        <f>I166*(1+J166)</f>
        <v>15.9942</v>
      </c>
      <c r="L166" s="96" t="n">
        <v>0.3</v>
      </c>
      <c r="M166" s="95" t="n">
        <f>K166*(1+L166)</f>
        <v>20.79246</v>
      </c>
      <c r="N166" t="str">
        <v>CAMICON · Quito</v>
      </c>
      <c r="O166" t="str">
        <v>Octubre–diciembre 2025</v>
      </c>
      <c r="P166" s="97" t="str">
        <v>REFERENCIAL QUITO · utilidad 30% provisional</v>
      </c>
      <c r="Q166" t="str">
        <v>RECUBRIMIENTOS</v>
      </c>
      <c r="R166" t="str">
        <v>recubrimiento de piso industrial con pintura epoxica</v>
      </c>
    </row>
    <row r="167">
      <c r="A167" t="str">
        <v>CAM-0162</v>
      </c>
      <c r="B167" t="str">
        <v>ACABADOS Y GYPSUM</v>
      </c>
      <c r="C167" t="str">
        <v>8,0115</v>
      </c>
      <c r="D167" s="97" t="str">
        <v>TABLÓN DE SEIKE 4X23 CM</v>
      </c>
      <c r="E167" t="str">
        <v>m²</v>
      </c>
      <c r="F167" s="95" t="n">
        <v>54.72</v>
      </c>
      <c r="G167" s="95" t="n">
        <v>5.4</v>
      </c>
      <c r="H167" s="95" t="n">
        <v>2.83</v>
      </c>
      <c r="I167" s="95" t="n">
        <v>62.95</v>
      </c>
      <c r="J167" s="96" t="n">
        <v>0.22</v>
      </c>
      <c r="K167" s="95" t="n">
        <f>I167*(1+J167)</f>
        <v>76.799</v>
      </c>
      <c r="L167" s="96" t="n">
        <v>0.3</v>
      </c>
      <c r="M167" s="95" t="n">
        <f>K167*(1+L167)</f>
        <v>99.83870000000002</v>
      </c>
      <c r="N167" t="str">
        <v>CAMICON · Quito</v>
      </c>
      <c r="O167" t="str">
        <v>Octubre–diciembre 2025</v>
      </c>
      <c r="P167" s="97" t="str">
        <v>REFERENCIAL QUITO · utilidad 30% provisional</v>
      </c>
      <c r="Q167" t="str">
        <v>RECUBRIMIENTOS</v>
      </c>
      <c r="R167" t="str">
        <v>tablon de seike 4x23 cm</v>
      </c>
    </row>
    <row r="168">
      <c r="A168" t="str">
        <v>CAM-0163</v>
      </c>
      <c r="B168" t="str">
        <v>ACABADOS Y GYPSUM</v>
      </c>
      <c r="C168" t="str">
        <v>8,0116</v>
      </c>
      <c r="D168" s="97" t="str">
        <v>TEJUELO</v>
      </c>
      <c r="E168" t="str">
        <v>m²</v>
      </c>
      <c r="F168" s="95" t="n">
        <v>21.45</v>
      </c>
      <c r="G168" s="95" t="n">
        <v>7.99</v>
      </c>
      <c r="H168" s="95" t="n">
        <v>0.4</v>
      </c>
      <c r="I168" s="95" t="n">
        <v>29.84</v>
      </c>
      <c r="J168" s="96" t="n">
        <v>0.22</v>
      </c>
      <c r="K168" s="95" t="n">
        <f>I168*(1+J168)</f>
        <v>36.4048</v>
      </c>
      <c r="L168" s="96" t="n">
        <v>0.3</v>
      </c>
      <c r="M168" s="95" t="n">
        <f>K168*(1+L168)</f>
        <v>47.326240000000006</v>
      </c>
      <c r="N168" t="str">
        <v>CAMICON · Quito</v>
      </c>
      <c r="O168" t="str">
        <v>Octubre–diciembre 2025</v>
      </c>
      <c r="P168" s="97" t="str">
        <v>REFERENCIAL QUITO · utilidad 30% provisional</v>
      </c>
      <c r="Q168" t="str">
        <v>RECUBRIMIENTOS</v>
      </c>
      <c r="R168" t="str">
        <v>tejuelo</v>
      </c>
    </row>
    <row r="169">
      <c r="A169" t="str">
        <v>CAM-0164</v>
      </c>
      <c r="B169" t="str">
        <v>ROTULACIÓN Y SEÑALÉTICA</v>
      </c>
      <c r="C169" t="str">
        <v>8,0117</v>
      </c>
      <c r="D169" s="97" t="str">
        <v>VINIL RESIDENCIAL 2.5 MM</v>
      </c>
      <c r="E169" t="str">
        <v>m²</v>
      </c>
      <c r="F169" s="95" t="n">
        <v>20.45</v>
      </c>
      <c r="G169" s="95" t="n">
        <v>3.59</v>
      </c>
      <c r="H169" s="95" t="n">
        <v>1.58</v>
      </c>
      <c r="I169" s="95" t="n">
        <v>25.62</v>
      </c>
      <c r="J169" s="96" t="n">
        <v>0.22</v>
      </c>
      <c r="K169" s="95" t="n">
        <f>I169*(1+J169)</f>
        <v>31.2564</v>
      </c>
      <c r="L169" s="96" t="n">
        <v>0.3</v>
      </c>
      <c r="M169" s="95" t="n">
        <f>K169*(1+L169)</f>
        <v>40.63332</v>
      </c>
      <c r="N169" t="str">
        <v>CAMICON · Quito</v>
      </c>
      <c r="O169" t="str">
        <v>Octubre–diciembre 2025</v>
      </c>
      <c r="P169" s="97" t="str">
        <v>REFERENCIAL QUITO · utilidad 30% provisional</v>
      </c>
      <c r="Q169" t="str">
        <v>RECUBRIMIENTOS</v>
      </c>
      <c r="R169" t="str">
        <v>vinil residencial 2.5 mm</v>
      </c>
    </row>
    <row r="170">
      <c r="A170" t="str">
        <v>CAM-0165</v>
      </c>
      <c r="B170" t="str">
        <v>ACABADOS Y GYPSUM</v>
      </c>
      <c r="C170" t="str">
        <v>8,0201</v>
      </c>
      <c r="D170" s="97" t="str">
        <v>CENEFA DECORATIVA</v>
      </c>
      <c r="E170" t="str">
        <v>mtl</v>
      </c>
      <c r="F170" s="95" t="n">
        <v>16.43</v>
      </c>
      <c r="G170" s="95" t="n">
        <v>1.71</v>
      </c>
      <c r="H170" s="95" t="n">
        <v>0.09</v>
      </c>
      <c r="I170" s="95" t="n">
        <v>18.23</v>
      </c>
      <c r="J170" s="96" t="n">
        <v>0.22</v>
      </c>
      <c r="K170" s="95" t="n">
        <f>I170*(1+J170)</f>
        <v>22.2406</v>
      </c>
      <c r="L170" s="96" t="n">
        <v>0.3</v>
      </c>
      <c r="M170" s="95" t="n">
        <f>K170*(1+L170)</f>
        <v>28.91278</v>
      </c>
      <c r="N170" t="str">
        <v>CAMICON · Quito</v>
      </c>
      <c r="O170" t="str">
        <v>Octubre–diciembre 2025</v>
      </c>
      <c r="P170" s="97" t="str">
        <v>REFERENCIAL QUITO · utilidad 30% provisional</v>
      </c>
      <c r="Q170" t="str">
        <v>RECUBRIMIENTOS</v>
      </c>
      <c r="R170" t="str">
        <v>cenefa decorativa</v>
      </c>
    </row>
    <row r="171">
      <c r="A171" t="str">
        <v>CAM-0166</v>
      </c>
      <c r="B171" t="str">
        <v>ACABADOS Y GYPSUM</v>
      </c>
      <c r="C171" t="str">
        <v>8,0202</v>
      </c>
      <c r="D171" s="97" t="str">
        <v>CERÁMICA EN PARED 20X30 CM</v>
      </c>
      <c r="E171" t="str">
        <v>m²</v>
      </c>
      <c r="F171" s="95" t="n">
        <v>11.88</v>
      </c>
      <c r="G171" s="95" t="n">
        <v>5.48</v>
      </c>
      <c r="H171" s="95" t="n">
        <v>0.27</v>
      </c>
      <c r="I171" s="95" t="n">
        <v>17.63</v>
      </c>
      <c r="J171" s="96" t="n">
        <v>0.22</v>
      </c>
      <c r="K171" s="95" t="n">
        <f>I171*(1+J171)</f>
        <v>21.508599999999998</v>
      </c>
      <c r="L171" s="96" t="n">
        <v>0.3</v>
      </c>
      <c r="M171" s="95" t="n">
        <f>K171*(1+L171)</f>
        <v>27.96118</v>
      </c>
      <c r="N171" t="str">
        <v>CAMICON · Quito</v>
      </c>
      <c r="O171" t="str">
        <v>Octubre–diciembre 2025</v>
      </c>
      <c r="P171" s="97" t="str">
        <v>REFERENCIAL QUITO · utilidad 30% provisional</v>
      </c>
      <c r="Q171" t="str">
        <v>RECUBRIMIENTOS</v>
      </c>
      <c r="R171" t="str">
        <v>ceramica en pared 20x30 cm</v>
      </c>
    </row>
    <row r="172">
      <c r="A172" t="str">
        <v>CAM-0167</v>
      </c>
      <c r="B172" t="str">
        <v>ACABADOS Y GYPSUM</v>
      </c>
      <c r="C172" t="str">
        <v>8,0203</v>
      </c>
      <c r="D172" s="97" t="str">
        <v>EMPASTE EXTERIOR</v>
      </c>
      <c r="E172" t="str">
        <v>m²</v>
      </c>
      <c r="F172" s="95" t="n">
        <v>0.97</v>
      </c>
      <c r="G172" s="95" t="n">
        <v>2.25</v>
      </c>
      <c r="H172" s="95" t="n">
        <v>0.61</v>
      </c>
      <c r="I172" s="95" t="n">
        <v>3.83</v>
      </c>
      <c r="J172" s="96" t="n">
        <v>0.22</v>
      </c>
      <c r="K172" s="95" t="n">
        <f>I172*(1+J172)</f>
        <v>4.6726</v>
      </c>
      <c r="L172" s="96" t="n">
        <v>0.3</v>
      </c>
      <c r="M172" s="95" t="n">
        <f>K172*(1+L172)</f>
        <v>6.074380000000001</v>
      </c>
      <c r="N172" t="str">
        <v>CAMICON · Quito</v>
      </c>
      <c r="O172" t="str">
        <v>Octubre–diciembre 2025</v>
      </c>
      <c r="P172" s="97" t="str">
        <v>REFERENCIAL QUITO · utilidad 30% provisional</v>
      </c>
      <c r="Q172" t="str">
        <v>RECUBRIMIENTOS</v>
      </c>
      <c r="R172" t="str">
        <v>empaste exterior</v>
      </c>
    </row>
    <row r="173">
      <c r="A173" t="str">
        <v>CAM-0168</v>
      </c>
      <c r="B173" t="str">
        <v>ACABADOS Y GYPSUM</v>
      </c>
      <c r="C173" t="str">
        <v>8,0204</v>
      </c>
      <c r="D173" s="97" t="str">
        <v>EMPASTE INTERIOR</v>
      </c>
      <c r="E173" t="str">
        <v>m²</v>
      </c>
      <c r="F173" s="95" t="n">
        <v>0.95</v>
      </c>
      <c r="G173" s="95" t="n">
        <v>1.81</v>
      </c>
      <c r="H173" s="95" t="n">
        <v>0.49</v>
      </c>
      <c r="I173" s="95" t="n">
        <v>3.25</v>
      </c>
      <c r="J173" s="96" t="n">
        <v>0.22</v>
      </c>
      <c r="K173" s="95" t="n">
        <f>I173*(1+J173)</f>
        <v>3.965</v>
      </c>
      <c r="L173" s="96" t="n">
        <v>0.3</v>
      </c>
      <c r="M173" s="95" t="n">
        <f>K173*(1+L173)</f>
        <v>5.1545</v>
      </c>
      <c r="N173" t="str">
        <v>CAMICON · Quito</v>
      </c>
      <c r="O173" t="str">
        <v>Octubre–diciembre 2025</v>
      </c>
      <c r="P173" s="97" t="str">
        <v>REFERENCIAL QUITO · utilidad 30% provisional</v>
      </c>
      <c r="Q173" t="str">
        <v>RECUBRIMIENTOS</v>
      </c>
      <c r="R173" t="str">
        <v>empaste interior</v>
      </c>
    </row>
    <row r="174">
      <c r="A174" t="str">
        <v>CAM-0169</v>
      </c>
      <c r="B174" t="str">
        <v>VIDRIO Y ALUMINIO</v>
      </c>
      <c r="C174" t="str">
        <v>8,0205</v>
      </c>
      <c r="D174" s="97" t="str">
        <v>FACHADA DE ALUMINIO COMPUESTO 4MM</v>
      </c>
      <c r="E174" t="str">
        <v>m²</v>
      </c>
      <c r="F174" s="95" t="n">
        <v>84.24</v>
      </c>
      <c r="G174" s="95" t="n">
        <v>18.57</v>
      </c>
      <c r="H174" s="95" t="n">
        <v>2.77</v>
      </c>
      <c r="I174" s="95" t="n">
        <v>105.58</v>
      </c>
      <c r="J174" s="96" t="n">
        <v>0.22</v>
      </c>
      <c r="K174" s="95" t="n">
        <f>I174*(1+J174)</f>
        <v>128.8076</v>
      </c>
      <c r="L174" s="96" t="n">
        <v>0.3</v>
      </c>
      <c r="M174" s="95" t="n">
        <f>K174*(1+L174)</f>
        <v>167.44988</v>
      </c>
      <c r="N174" t="str">
        <v>CAMICON · Quito</v>
      </c>
      <c r="O174" t="str">
        <v>Octubre–diciembre 2025</v>
      </c>
      <c r="P174" s="97" t="str">
        <v>REFERENCIAL QUITO · utilidad 30% provisional</v>
      </c>
      <c r="Q174" t="str">
        <v>RECUBRIMIENTOS</v>
      </c>
      <c r="R174" t="str">
        <v>fachada de aluminio compuesto 4mm</v>
      </c>
    </row>
    <row r="175">
      <c r="A175" t="str">
        <v>CAM-0170</v>
      </c>
      <c r="B175" t="str">
        <v>ACABADOS Y GYPSUM</v>
      </c>
      <c r="C175" t="str">
        <v>8,0206</v>
      </c>
      <c r="D175" s="97" t="str">
        <v>FACHADA DE PIEDRA DECORATIVA (FACHALETA)</v>
      </c>
      <c r="E175" t="str">
        <v>m²</v>
      </c>
      <c r="F175" s="95" t="n">
        <v>28.39</v>
      </c>
      <c r="G175" s="95" t="n">
        <v>14.38</v>
      </c>
      <c r="H175" s="95" t="n">
        <v>2.32</v>
      </c>
      <c r="I175" s="95" t="n">
        <v>45.09</v>
      </c>
      <c r="J175" s="96" t="n">
        <v>0.22</v>
      </c>
      <c r="K175" s="95" t="n">
        <f>I175*(1+J175)</f>
        <v>55.009800000000006</v>
      </c>
      <c r="L175" s="96" t="n">
        <v>0.3</v>
      </c>
      <c r="M175" s="95" t="n">
        <f>K175*(1+L175)</f>
        <v>71.51274000000001</v>
      </c>
      <c r="N175" t="str">
        <v>CAMICON · Quito</v>
      </c>
      <c r="O175" t="str">
        <v>Octubre–diciembre 2025</v>
      </c>
      <c r="P175" s="97" t="str">
        <v>REFERENCIAL QUITO · utilidad 30% provisional</v>
      </c>
      <c r="Q175" t="str">
        <v>RECUBRIMIENTOS</v>
      </c>
      <c r="R175" t="str">
        <v>fachada de piedra decorativa (fachaleta)</v>
      </c>
    </row>
    <row r="176">
      <c r="A176" t="str">
        <v>CAM-0171</v>
      </c>
      <c r="B176" t="str">
        <v>ACABADOS Y GYPSUM</v>
      </c>
      <c r="C176" t="str">
        <v>8,0207</v>
      </c>
      <c r="D176" s="97" t="str">
        <v>GRAFIADO EN PARED</v>
      </c>
      <c r="E176" t="str">
        <v>m²</v>
      </c>
      <c r="F176" s="95" t="n">
        <v>3.52</v>
      </c>
      <c r="G176" s="95" t="n">
        <v>2.97</v>
      </c>
      <c r="H176" s="95" t="n">
        <v>0.81</v>
      </c>
      <c r="I176" s="95" t="n">
        <v>7.3</v>
      </c>
      <c r="J176" s="96" t="n">
        <v>0.22</v>
      </c>
      <c r="K176" s="95" t="n">
        <f>I176*(1+J176)</f>
        <v>8.905999999999999</v>
      </c>
      <c r="L176" s="96" t="n">
        <v>0.3</v>
      </c>
      <c r="M176" s="95" t="n">
        <f>K176*(1+L176)</f>
        <v>11.577799999999998</v>
      </c>
      <c r="N176" t="str">
        <v>CAMICON · Quito</v>
      </c>
      <c r="O176" t="str">
        <v>Octubre–diciembre 2025</v>
      </c>
      <c r="P176" s="97" t="str">
        <v>REFERENCIAL QUITO · utilidad 30% provisional</v>
      </c>
      <c r="Q176" t="str">
        <v>RECUBRIMIENTOS</v>
      </c>
      <c r="R176" t="str">
        <v>grafiado en pared</v>
      </c>
    </row>
    <row r="177">
      <c r="A177" t="str">
        <v>CAM-0172</v>
      </c>
      <c r="B177" t="str">
        <v>ACABADOS Y GYPSUM</v>
      </c>
      <c r="C177" t="str">
        <v>8,0208</v>
      </c>
      <c r="D177" s="97" t="str">
        <v>PAREDES DE GYPSUM 1/2" DOBLE CARA</v>
      </c>
      <c r="E177" t="str">
        <v>m²</v>
      </c>
      <c r="F177" s="95" t="n">
        <v>12.05</v>
      </c>
      <c r="G177" s="95" t="n">
        <v>13.27</v>
      </c>
      <c r="H177" s="95" t="n">
        <v>0.85</v>
      </c>
      <c r="I177" s="95" t="n">
        <v>26.17</v>
      </c>
      <c r="J177" s="96" t="n">
        <v>0.22</v>
      </c>
      <c r="K177" s="95" t="n">
        <f>I177*(1+J177)</f>
        <v>31.927400000000002</v>
      </c>
      <c r="L177" s="96" t="n">
        <v>0.3</v>
      </c>
      <c r="M177" s="95" t="n">
        <f>K177*(1+L177)</f>
        <v>41.50562000000001</v>
      </c>
      <c r="N177" t="str">
        <v>CAMICON · Quito</v>
      </c>
      <c r="O177" t="str">
        <v>Octubre–diciembre 2025</v>
      </c>
      <c r="P177" s="97" t="str">
        <v>REFERENCIAL QUITO · utilidad 30% provisional</v>
      </c>
      <c r="Q177" t="str">
        <v>RECUBRIMIENTOS</v>
      </c>
      <c r="R177" t="str">
        <v>paredes de gypsum 1/2" doble cara</v>
      </c>
    </row>
    <row r="178">
      <c r="A178" t="str">
        <v>CAM-0173</v>
      </c>
      <c r="B178" t="str">
        <v>ACABADOS Y GYPSUM</v>
      </c>
      <c r="C178" t="str">
        <v>8,0209</v>
      </c>
      <c r="D178" s="97" t="str">
        <v>PAREDES DE GYPSUM 1/2" UNA CARA</v>
      </c>
      <c r="E178" t="str">
        <v>m²</v>
      </c>
      <c r="F178" s="95" t="n">
        <v>8.14</v>
      </c>
      <c r="G178" s="95" t="n">
        <v>7.97</v>
      </c>
      <c r="H178" s="95" t="n">
        <v>0.51</v>
      </c>
      <c r="I178" s="95" t="n">
        <v>16.62</v>
      </c>
      <c r="J178" s="96" t="n">
        <v>0.22</v>
      </c>
      <c r="K178" s="95" t="n">
        <f>I178*(1+J178)</f>
        <v>20.276400000000002</v>
      </c>
      <c r="L178" s="96" t="n">
        <v>0.3</v>
      </c>
      <c r="M178" s="95" t="n">
        <f>K178*(1+L178)</f>
        <v>26.359320000000004</v>
      </c>
      <c r="N178" t="str">
        <v>CAMICON · Quito</v>
      </c>
      <c r="O178" t="str">
        <v>Octubre–diciembre 2025</v>
      </c>
      <c r="P178" s="97" t="str">
        <v>REFERENCIAL QUITO · utilidad 30% provisional</v>
      </c>
      <c r="Q178" t="str">
        <v>RECUBRIMIENTOS</v>
      </c>
      <c r="R178" t="str">
        <v>paredes de gypsum 1/2" una cara</v>
      </c>
    </row>
    <row r="179">
      <c r="A179" t="str">
        <v>CAM-0174</v>
      </c>
      <c r="B179" t="str">
        <v>ROTULACIÓN Y SEÑALÉTICA</v>
      </c>
      <c r="C179" t="str">
        <v>8.0210</v>
      </c>
      <c r="D179" s="97" t="str">
        <v>PINTURA DE CAUCHO CIELO RASO, LÁTEX VINILO ACRÍLICO H=2.50M</v>
      </c>
      <c r="E179" t="str">
        <v>m²</v>
      </c>
      <c r="F179" s="95" t="n">
        <v>0.92</v>
      </c>
      <c r="G179" s="95" t="n">
        <v>2.25</v>
      </c>
      <c r="H179" s="95" t="n">
        <v>0.61</v>
      </c>
      <c r="I179" s="95" t="n">
        <v>3.78</v>
      </c>
      <c r="J179" s="96" t="n">
        <v>0.22</v>
      </c>
      <c r="K179" s="95" t="n">
        <f>I179*(1+J179)</f>
        <v>4.611599999999999</v>
      </c>
      <c r="L179" s="96" t="n">
        <v>0.3</v>
      </c>
      <c r="M179" s="95" t="n">
        <f>K179*(1+L179)</f>
        <v>5.995079999999999</v>
      </c>
      <c r="N179" t="str">
        <v>CAMICON · Quito</v>
      </c>
      <c r="O179" t="str">
        <v>Octubre–diciembre 2025</v>
      </c>
      <c r="P179" s="97" t="str">
        <v>REFERENCIAL QUITO · utilidad 30% provisional</v>
      </c>
      <c r="Q179" t="str">
        <v>RECUBRIMIENTOS</v>
      </c>
      <c r="R179" t="str">
        <v>pintura de caucho cielo raso, latex vinilo acrilico h=2.50m</v>
      </c>
    </row>
    <row r="180">
      <c r="A180" t="str">
        <v>CAM-0175</v>
      </c>
      <c r="B180" t="str">
        <v>ROTULACIÓN Y SEÑALÉTICA</v>
      </c>
      <c r="C180" t="str">
        <v>8,0211</v>
      </c>
      <c r="D180" s="97" t="str">
        <v>PINTURA DE CAUCHO CIELO RASO, LÁTEX VINILO ACRÍLICO H=5.00M</v>
      </c>
      <c r="E180" t="str">
        <v>m²</v>
      </c>
      <c r="F180" s="95" t="n">
        <v>0.92</v>
      </c>
      <c r="G180" s="95" t="n">
        <v>2.69</v>
      </c>
      <c r="H180" s="95" t="n">
        <v>1.63</v>
      </c>
      <c r="I180" s="95" t="n">
        <v>5.24</v>
      </c>
      <c r="J180" s="96" t="n">
        <v>0.22</v>
      </c>
      <c r="K180" s="95" t="n">
        <f>I180*(1+J180)</f>
        <v>6.3928</v>
      </c>
      <c r="L180" s="96" t="n">
        <v>0.3</v>
      </c>
      <c r="M180" s="95" t="n">
        <f>K180*(1+L180)</f>
        <v>8.310640000000001</v>
      </c>
      <c r="N180" t="str">
        <v>CAMICON · Quito</v>
      </c>
      <c r="O180" t="str">
        <v>Octubre–diciembre 2025</v>
      </c>
      <c r="P180" s="97" t="str">
        <v>REFERENCIAL QUITO · utilidad 30% provisional</v>
      </c>
      <c r="Q180" t="str">
        <v>RECUBRIMIENTOS</v>
      </c>
      <c r="R180" t="str">
        <v>pintura de caucho cielo raso, latex vinilo acrilico h=5.00m</v>
      </c>
    </row>
    <row r="181">
      <c r="A181" t="str">
        <v>CAM-0176</v>
      </c>
      <c r="B181" t="str">
        <v>ROTULACIÓN Y SEÑALÉTICA</v>
      </c>
      <c r="C181" t="str">
        <v>8,0212</v>
      </c>
      <c r="D181" s="97" t="str">
        <v>PINTURA DE CAUCHO EXTERIOR, LÁTEX VINILO ACRÍLICO</v>
      </c>
      <c r="E181" t="str">
        <v>m²</v>
      </c>
      <c r="F181" s="95" t="n">
        <v>0.8</v>
      </c>
      <c r="G181" s="95" t="n">
        <v>1.97</v>
      </c>
      <c r="H181" s="95" t="n">
        <v>0.54</v>
      </c>
      <c r="I181" s="95" t="n">
        <v>3.31</v>
      </c>
      <c r="J181" s="96" t="n">
        <v>0.22</v>
      </c>
      <c r="K181" s="95" t="n">
        <f>I181*(1+J181)</f>
        <v>4.0382</v>
      </c>
      <c r="L181" s="96" t="n">
        <v>0.3</v>
      </c>
      <c r="M181" s="95" t="n">
        <f>K181*(1+L181)</f>
        <v>5.2496599999999995</v>
      </c>
      <c r="N181" t="str">
        <v>CAMICON · Quito</v>
      </c>
      <c r="O181" t="str">
        <v>Octubre–diciembre 2025</v>
      </c>
      <c r="P181" s="97" t="str">
        <v>REFERENCIAL QUITO · utilidad 30% provisional</v>
      </c>
      <c r="Q181" t="str">
        <v>RECUBRIMIENTOS</v>
      </c>
      <c r="R181" t="str">
        <v>pintura de caucho exterior, latex vinilo acrilico</v>
      </c>
    </row>
    <row r="182">
      <c r="A182" t="str">
        <v>CAM-0177</v>
      </c>
      <c r="B182" t="str">
        <v>ROTULACIÓN Y SEÑALÉTICA</v>
      </c>
      <c r="C182" t="str">
        <v>8,0213</v>
      </c>
      <c r="D182" s="97" t="str">
        <v>PINTURA DE CAUCHO INTERIOR, LÁTEX VINILO ACRÍLICO</v>
      </c>
      <c r="E182" t="str">
        <v>m²</v>
      </c>
      <c r="F182" s="95" t="n">
        <v>0.8</v>
      </c>
      <c r="G182" s="95" t="n">
        <v>1.62</v>
      </c>
      <c r="H182" s="95" t="n">
        <v>0.44</v>
      </c>
      <c r="I182" s="95" t="n">
        <v>2.86</v>
      </c>
      <c r="J182" s="96" t="n">
        <v>0.22</v>
      </c>
      <c r="K182" s="95" t="n">
        <f>I182*(1+J182)</f>
        <v>3.4892</v>
      </c>
      <c r="L182" s="96" t="n">
        <v>0.3</v>
      </c>
      <c r="M182" s="95" t="n">
        <f>K182*(1+L182)</f>
        <v>4.53596</v>
      </c>
      <c r="N182" t="str">
        <v>CAMICON · Quito</v>
      </c>
      <c r="O182" t="str">
        <v>Octubre–diciembre 2025</v>
      </c>
      <c r="P182" s="97" t="str">
        <v>REFERENCIAL QUITO · utilidad 30% provisional</v>
      </c>
      <c r="Q182" t="str">
        <v>RECUBRIMIENTOS</v>
      </c>
      <c r="R182" t="str">
        <v>pintura de caucho interior, latex vinilo acrilico</v>
      </c>
    </row>
    <row r="183">
      <c r="A183" t="str">
        <v>CAM-0178</v>
      </c>
      <c r="B183" t="str">
        <v>ACABADOS Y GYPSUM</v>
      </c>
      <c r="C183" t="str">
        <v>8,0214</v>
      </c>
      <c r="D183" s="97" t="str">
        <v>PINTURA DE ESMALTE Y ANTICORROSIVA PARA ELEMENTOS METÁLICOS</v>
      </c>
      <c r="E183" t="str">
        <v>m²</v>
      </c>
      <c r="F183" s="95" t="n">
        <v>2.01</v>
      </c>
      <c r="G183" s="95" t="n">
        <v>3.15</v>
      </c>
      <c r="H183" s="95" t="n">
        <v>1.17</v>
      </c>
      <c r="I183" s="95" t="n">
        <v>6.33</v>
      </c>
      <c r="J183" s="96" t="n">
        <v>0.22</v>
      </c>
      <c r="K183" s="95" t="n">
        <f>I183*(1+J183)</f>
        <v>7.7226</v>
      </c>
      <c r="L183" s="96" t="n">
        <v>0.3</v>
      </c>
      <c r="M183" s="95" t="n">
        <f>K183*(1+L183)</f>
        <v>10.03938</v>
      </c>
      <c r="N183" t="str">
        <v>CAMICON · Quito</v>
      </c>
      <c r="O183" t="str">
        <v>Octubre–diciembre 2025</v>
      </c>
      <c r="P183" s="97" t="str">
        <v>REFERENCIAL QUITO · utilidad 30% provisional</v>
      </c>
      <c r="Q183" t="str">
        <v>RECUBRIMIENTOS</v>
      </c>
      <c r="R183" t="str">
        <v>pintura de esmalte y anticorrosiva para elementos metalicos</v>
      </c>
    </row>
    <row r="184">
      <c r="A184" t="str">
        <v>CAM-0179</v>
      </c>
      <c r="B184" t="str">
        <v>ACABADOS Y GYPSUM</v>
      </c>
      <c r="C184" t="str">
        <v>8,0215</v>
      </c>
      <c r="D184" s="97" t="str">
        <v>PINTURA DE ESMALTE: PAREDES</v>
      </c>
      <c r="E184" t="str">
        <v>m²</v>
      </c>
      <c r="F184" s="95" t="n">
        <v>0.57</v>
      </c>
      <c r="G184" s="95" t="n">
        <v>2.25</v>
      </c>
      <c r="H184" s="95" t="n">
        <v>0.83</v>
      </c>
      <c r="I184" s="95" t="n">
        <v>3.65</v>
      </c>
      <c r="J184" s="96" t="n">
        <v>0.22</v>
      </c>
      <c r="K184" s="95" t="n">
        <f>I184*(1+J184)</f>
        <v>4.452999999999999</v>
      </c>
      <c r="L184" s="96" t="n">
        <v>0.3</v>
      </c>
      <c r="M184" s="95" t="n">
        <f>K184*(1+L184)</f>
        <v>5.788899999999999</v>
      </c>
      <c r="N184" t="str">
        <v>CAMICON · Quito</v>
      </c>
      <c r="O184" t="str">
        <v>Octubre–diciembre 2025</v>
      </c>
      <c r="P184" s="97" t="str">
        <v>REFERENCIAL QUITO · utilidad 30% provisional</v>
      </c>
      <c r="Q184" t="str">
        <v>RECUBRIMIENTOS</v>
      </c>
      <c r="R184" t="str">
        <v>pintura de esmalte: paredes</v>
      </c>
    </row>
    <row r="185">
      <c r="A185" t="str">
        <v>CAM-0180</v>
      </c>
      <c r="B185" t="str">
        <v>ACABADOS Y GYPSUM</v>
      </c>
      <c r="C185" t="str">
        <v>8,0216</v>
      </c>
      <c r="D185" s="97" t="str">
        <v>PINTURA ELASTOMÉRICA (2 MANOS) SIN TEXTURA</v>
      </c>
      <c r="E185" t="str">
        <v>m²</v>
      </c>
      <c r="F185" s="95" t="n">
        <v>1.51</v>
      </c>
      <c r="G185" s="95" t="n">
        <v>2.25</v>
      </c>
      <c r="H185" s="95" t="n">
        <v>0.61</v>
      </c>
      <c r="I185" s="95" t="n">
        <v>4.37</v>
      </c>
      <c r="J185" s="96" t="n">
        <v>0.22</v>
      </c>
      <c r="K185" s="95" t="n">
        <f>I185*(1+J185)</f>
        <v>5.3314</v>
      </c>
      <c r="L185" s="96" t="n">
        <v>0.3</v>
      </c>
      <c r="M185" s="95" t="n">
        <f>K185*(1+L185)</f>
        <v>6.930820000000001</v>
      </c>
      <c r="N185" t="str">
        <v>CAMICON · Quito</v>
      </c>
      <c r="O185" t="str">
        <v>Octubre–diciembre 2025</v>
      </c>
      <c r="P185" s="97" t="str">
        <v>REFERENCIAL QUITO · utilidad 30% provisional</v>
      </c>
      <c r="Q185" t="str">
        <v>RECUBRIMIENTOS</v>
      </c>
      <c r="R185" t="str">
        <v>pintura elastomerica (2 manos) sin textura</v>
      </c>
    </row>
    <row r="186">
      <c r="A186" t="str">
        <v>CAM-0181</v>
      </c>
      <c r="B186" t="str">
        <v>ACABADOS Y GYPSUM</v>
      </c>
      <c r="C186" t="str">
        <v>8,0217</v>
      </c>
      <c r="D186" s="97" t="str">
        <v>PINTURA PARA CUBIERTA DE FIBROCEMENTO</v>
      </c>
      <c r="E186" t="str">
        <v>m²</v>
      </c>
      <c r="F186" s="95" t="n">
        <v>2.03</v>
      </c>
      <c r="G186" s="95" t="n">
        <v>3.59</v>
      </c>
      <c r="H186" s="95" t="n">
        <v>0.58</v>
      </c>
      <c r="I186" s="95" t="n">
        <v>6.2</v>
      </c>
      <c r="J186" s="96" t="n">
        <v>0.22</v>
      </c>
      <c r="K186" s="95" t="n">
        <f>I186*(1+J186)</f>
        <v>7.564</v>
      </c>
      <c r="L186" s="96" t="n">
        <v>0.3</v>
      </c>
      <c r="M186" s="95" t="n">
        <f>K186*(1+L186)</f>
        <v>9.8332</v>
      </c>
      <c r="N186" t="str">
        <v>CAMICON · Quito</v>
      </c>
      <c r="O186" t="str">
        <v>Octubre–diciembre 2025</v>
      </c>
      <c r="P186" s="97" t="str">
        <v>REFERENCIAL QUITO · utilidad 30% provisional</v>
      </c>
      <c r="Q186" t="str">
        <v>RECUBRIMIENTOS</v>
      </c>
      <c r="R186" t="str">
        <v>pintura para cubierta de fibrocemento</v>
      </c>
    </row>
    <row r="187">
      <c r="A187" t="str">
        <v>CAM-0182</v>
      </c>
      <c r="B187" t="str">
        <v>ACABADOS Y GYPSUM</v>
      </c>
      <c r="C187" t="str">
        <v>8.0301</v>
      </c>
      <c r="D187" s="97" t="str">
        <v>IMPERMEABILIZACIÓN DE CUBIERTAS CON LAMINA ASFÁLTICA (USO GENERAL).</v>
      </c>
      <c r="E187" t="str">
        <v>m²</v>
      </c>
      <c r="F187" s="95" t="n">
        <v>9.96</v>
      </c>
      <c r="G187" s="95" t="n">
        <v>3.59</v>
      </c>
      <c r="H187" s="95" t="n">
        <v>1.58</v>
      </c>
      <c r="I187" s="95" t="n">
        <v>15.13</v>
      </c>
      <c r="J187" s="96" t="n">
        <v>0.22</v>
      </c>
      <c r="K187" s="95" t="n">
        <f>I187*(1+J187)</f>
        <v>18.4586</v>
      </c>
      <c r="L187" s="96" t="n">
        <v>0.3</v>
      </c>
      <c r="M187" s="95" t="n">
        <f>K187*(1+L187)</f>
        <v>23.996180000000003</v>
      </c>
      <c r="N187" t="str">
        <v>CAMICON · Quito</v>
      </c>
      <c r="O187" t="str">
        <v>Octubre–diciembre 2025</v>
      </c>
      <c r="P187" s="97" t="str">
        <v>REFERENCIAL QUITO · utilidad 30% provisional</v>
      </c>
      <c r="Q187" t="str">
        <v>RECUBRIMIENTOS</v>
      </c>
      <c r="R187" t="str">
        <v>impermeabilizacion de cubiertas con lamina asfaltica (uso general).</v>
      </c>
    </row>
    <row r="188">
      <c r="A188" t="str">
        <v>CAM-0183</v>
      </c>
      <c r="B188" t="str">
        <v>VIDRIO Y ALUMINIO</v>
      </c>
      <c r="C188" t="str">
        <v>8.0302</v>
      </c>
      <c r="D188" s="97" t="str">
        <v>IMPERMEABILIZACIÓN DE CUBIERTAS CON LAMINA ASFÁLTICA CON AISLAMIENTO TERMOACÚSTICO DE ALUMINIO.</v>
      </c>
      <c r="E188" t="str">
        <v>m²</v>
      </c>
      <c r="F188" s="95" t="n">
        <v>11.3</v>
      </c>
      <c r="G188" s="95" t="n">
        <v>3.67</v>
      </c>
      <c r="H188" s="95" t="n">
        <v>1.62</v>
      </c>
      <c r="I188" s="95" t="n">
        <v>16.59</v>
      </c>
      <c r="J188" s="96" t="n">
        <v>0.22</v>
      </c>
      <c r="K188" s="95" t="n">
        <f>I188*(1+J188)</f>
        <v>20.2398</v>
      </c>
      <c r="L188" s="96" t="n">
        <v>0.3</v>
      </c>
      <c r="M188" s="95" t="n">
        <f>K188*(1+L188)</f>
        <v>26.31174</v>
      </c>
      <c r="N188" t="str">
        <v>CAMICON · Quito</v>
      </c>
      <c r="O188" t="str">
        <v>Octubre–diciembre 2025</v>
      </c>
      <c r="P188" s="97" t="str">
        <v>REFERENCIAL QUITO · utilidad 30% provisional</v>
      </c>
      <c r="Q188" t="str">
        <v>RECUBRIMIENTOS</v>
      </c>
      <c r="R188" t="str">
        <v>impermeabilizacion de cubiertas con lamina asfaltica con aislamiento termoacustico de aluminio.</v>
      </c>
    </row>
    <row r="189">
      <c r="A189" t="str">
        <v>CAM-0184</v>
      </c>
      <c r="B189" t="str">
        <v>ACABADOS Y GYPSUM</v>
      </c>
      <c r="C189" t="str">
        <v>8.0303</v>
      </c>
      <c r="D189" s="97" t="str">
        <v>IMPERMEABILIZACIÓN CON LAMINA ASFÁLTICA PARA CUBIERTAS CON TEJAS.</v>
      </c>
      <c r="E189" t="str">
        <v>m²</v>
      </c>
      <c r="F189" s="95" t="n">
        <v>11.56</v>
      </c>
      <c r="G189" s="95" t="n">
        <v>3.59</v>
      </c>
      <c r="H189" s="95" t="n">
        <v>1.58</v>
      </c>
      <c r="I189" s="95" t="n">
        <v>16.73</v>
      </c>
      <c r="J189" s="96" t="n">
        <v>0.22</v>
      </c>
      <c r="K189" s="95" t="n">
        <f>I189*(1+J189)</f>
        <v>20.4106</v>
      </c>
      <c r="L189" s="96" t="n">
        <v>0.3</v>
      </c>
      <c r="M189" s="95" t="n">
        <f>K189*(1+L189)</f>
        <v>26.53378</v>
      </c>
      <c r="N189" t="str">
        <v>CAMICON · Quito</v>
      </c>
      <c r="O189" t="str">
        <v>Octubre–diciembre 2025</v>
      </c>
      <c r="P189" s="97" t="str">
        <v>REFERENCIAL QUITO · utilidad 30% provisional</v>
      </c>
      <c r="Q189" t="str">
        <v>RECUBRIMIENTOS</v>
      </c>
      <c r="R189" t="str">
        <v>impermeabilizacion con lamina asfaltica para cubiertas con tejas.</v>
      </c>
    </row>
    <row r="190">
      <c r="A190" t="str">
        <v>CAM-0185</v>
      </c>
      <c r="B190" t="str">
        <v>ACABADOS Y GYPSUM</v>
      </c>
      <c r="C190" t="str">
        <v>8.0304</v>
      </c>
      <c r="D190" s="97" t="str">
        <v>IMPERMEABILIZACIÓN CON LAMINA ASFÁLTICA DE CONTRAPISOS, ENTREPISOS, ENTABLADOS Y PISOS FLOTANTES.</v>
      </c>
      <c r="E190" t="str">
        <v>m²</v>
      </c>
      <c r="F190" s="95" t="n">
        <v>9.95</v>
      </c>
      <c r="G190" s="95" t="n">
        <v>3.67</v>
      </c>
      <c r="H190" s="95" t="n">
        <v>1.62</v>
      </c>
      <c r="I190" s="95" t="n">
        <v>15.24</v>
      </c>
      <c r="J190" s="96" t="n">
        <v>0.22</v>
      </c>
      <c r="K190" s="95" t="n">
        <f>I190*(1+J190)</f>
        <v>18.5928</v>
      </c>
      <c r="L190" s="96" t="n">
        <v>0.3</v>
      </c>
      <c r="M190" s="95" t="n">
        <f>K190*(1+L190)</f>
        <v>24.170640000000002</v>
      </c>
      <c r="N190" t="str">
        <v>CAMICON · Quito</v>
      </c>
      <c r="O190" t="str">
        <v>Octubre–diciembre 2025</v>
      </c>
      <c r="P190" s="97" t="str">
        <v>REFERENCIAL QUITO · utilidad 30% provisional</v>
      </c>
      <c r="Q190" t="str">
        <v>RECUBRIMIENTOS</v>
      </c>
      <c r="R190" t="str">
        <v>impermeabilizacion con lamina asfaltica de contrapisos, entrepisos, entablados y pisos flotantes.</v>
      </c>
    </row>
    <row r="191">
      <c r="A191" t="str">
        <v>CAM-0186</v>
      </c>
      <c r="B191" t="str">
        <v>ACABADOS Y GYPSUM</v>
      </c>
      <c r="C191" t="str">
        <v>8.0305</v>
      </c>
      <c r="D191" s="97" t="str">
        <v>IMPERMEABILIZACIÓN DE CUBIERTAS CON LAMINA ASFÁLTICA CON ACABADO GRANULAR.</v>
      </c>
      <c r="E191" t="str">
        <v>m²</v>
      </c>
      <c r="F191" s="95" t="n">
        <v>8.92</v>
      </c>
      <c r="G191" s="95" t="n">
        <v>3.59</v>
      </c>
      <c r="H191" s="95" t="n">
        <v>1.58</v>
      </c>
      <c r="I191" s="95" t="n">
        <v>14.09</v>
      </c>
      <c r="J191" s="96" t="n">
        <v>0.22</v>
      </c>
      <c r="K191" s="95" t="n">
        <f>I191*(1+J191)</f>
        <v>17.189799999999998</v>
      </c>
      <c r="L191" s="96" t="n">
        <v>0.3</v>
      </c>
      <c r="M191" s="95" t="n">
        <f>K191*(1+L191)</f>
        <v>22.346739999999997</v>
      </c>
      <c r="N191" t="str">
        <v>CAMICON · Quito</v>
      </c>
      <c r="O191" t="str">
        <v>Octubre–diciembre 2025</v>
      </c>
      <c r="P191" s="97" t="str">
        <v>REFERENCIAL QUITO · utilidad 30% provisional</v>
      </c>
      <c r="Q191" t="str">
        <v>RECUBRIMIENTOS</v>
      </c>
      <c r="R191" t="str">
        <v>impermeabilizacion de cubiertas con lamina asfaltica con acabado granular.</v>
      </c>
    </row>
    <row r="192">
      <c r="A192" t="str">
        <v>CAM-0187</v>
      </c>
      <c r="B192" t="str">
        <v>ACABADOS Y GYPSUM</v>
      </c>
      <c r="C192" t="str">
        <v>8.0306</v>
      </c>
      <c r="D192" s="97" t="str">
        <v>IMPERMEABILIZACIÓN DE CUBIERTAS CON LAMINA ASFÁLTICA CON ACABADO GRANULAR DOBLE CAPA.</v>
      </c>
      <c r="E192" t="str">
        <v>m²</v>
      </c>
      <c r="F192" s="95" t="n">
        <v>17.88</v>
      </c>
      <c r="G192" s="95" t="n">
        <v>5.84</v>
      </c>
      <c r="H192" s="95" t="n">
        <v>2.57</v>
      </c>
      <c r="I192" s="95" t="n">
        <v>26.29</v>
      </c>
      <c r="J192" s="96" t="n">
        <v>0.22</v>
      </c>
      <c r="K192" s="95" t="n">
        <f>I192*(1+J192)</f>
        <v>32.0738</v>
      </c>
      <c r="L192" s="96" t="n">
        <v>0.3</v>
      </c>
      <c r="M192" s="95" t="n">
        <f>K192*(1+L192)</f>
        <v>41.69594</v>
      </c>
      <c r="N192" t="str">
        <v>CAMICON · Quito</v>
      </c>
      <c r="O192" t="str">
        <v>Octubre–diciembre 2025</v>
      </c>
      <c r="P192" s="97" t="str">
        <v>REFERENCIAL QUITO · utilidad 30% provisional</v>
      </c>
      <c r="Q192" t="str">
        <v>RECUBRIMIENTOS</v>
      </c>
      <c r="R192" t="str">
        <v>impermeabilizacion de cubiertas con lamina asfaltica con acabado granular doble capa.</v>
      </c>
    </row>
    <row r="193">
      <c r="A193" t="str">
        <v>CAM-0188</v>
      </c>
      <c r="B193" t="str">
        <v>ACABADOS Y GYPSUM</v>
      </c>
      <c r="C193" t="str">
        <v>8.0307</v>
      </c>
      <c r="D193" s="97" t="str">
        <v>IMPERMEABILIZACIÓN DE LOSAS Y VÍAS CON LAMINA ASFÁLTICA PARA TRÁFICO VEHICULAR.</v>
      </c>
      <c r="E193" t="str">
        <v>m²</v>
      </c>
      <c r="F193" s="95" t="n">
        <v>9.89</v>
      </c>
      <c r="G193" s="95" t="n">
        <v>3.95</v>
      </c>
      <c r="H193" s="95" t="n">
        <v>1.74</v>
      </c>
      <c r="I193" s="95" t="n">
        <v>15.58</v>
      </c>
      <c r="J193" s="96" t="n">
        <v>0.22</v>
      </c>
      <c r="K193" s="95" t="n">
        <f>I193*(1+J193)</f>
        <v>19.0076</v>
      </c>
      <c r="L193" s="96" t="n">
        <v>0.3</v>
      </c>
      <c r="M193" s="95" t="n">
        <f>K193*(1+L193)</f>
        <v>24.709880000000002</v>
      </c>
      <c r="N193" t="str">
        <v>CAMICON · Quito</v>
      </c>
      <c r="O193" t="str">
        <v>Octubre–diciembre 2025</v>
      </c>
      <c r="P193" s="97" t="str">
        <v>REFERENCIAL QUITO · utilidad 30% provisional</v>
      </c>
      <c r="Q193" t="str">
        <v>RECUBRIMIENTOS</v>
      </c>
      <c r="R193" t="str">
        <v>impermeabilizacion de losas y vias con lamina asfaltica para trafico vehicular.</v>
      </c>
    </row>
    <row r="194">
      <c r="A194" t="str">
        <v>CAM-0189</v>
      </c>
      <c r="B194" t="str">
        <v>ACABADOS Y GYPSUM</v>
      </c>
      <c r="C194" t="str">
        <v>8.0308</v>
      </c>
      <c r="D194" s="97" t="str">
        <v>IMPERMEABILIZACIÓN DE SUPERFICIES CON LAMINA ASFÁLTICA ANTI-RAÍCES (JARDINERAS, MUROS Y CIMIENTOS).</v>
      </c>
      <c r="E194" t="str">
        <v>m²</v>
      </c>
      <c r="F194" s="95" t="n">
        <v>10.25</v>
      </c>
      <c r="G194" s="95" t="n">
        <v>3.78</v>
      </c>
      <c r="H194" s="95" t="n">
        <v>1.66</v>
      </c>
      <c r="I194" s="95" t="n">
        <v>15.69</v>
      </c>
      <c r="J194" s="96" t="n">
        <v>0.22</v>
      </c>
      <c r="K194" s="95" t="n">
        <f>I194*(1+J194)</f>
        <v>19.1418</v>
      </c>
      <c r="L194" s="96" t="n">
        <v>0.3</v>
      </c>
      <c r="M194" s="95" t="n">
        <f>K194*(1+L194)</f>
        <v>24.88434</v>
      </c>
      <c r="N194" t="str">
        <v>CAMICON · Quito</v>
      </c>
      <c r="O194" t="str">
        <v>Octubre–diciembre 2025</v>
      </c>
      <c r="P194" s="97" t="str">
        <v>REFERENCIAL QUITO · utilidad 30% provisional</v>
      </c>
      <c r="Q194" t="str">
        <v>RECUBRIMIENTOS</v>
      </c>
      <c r="R194" t="str">
        <v>impermeabilizacion de superficies con lamina asfaltica anti-raices (jardineras, muros y cimientos).</v>
      </c>
    </row>
    <row r="195">
      <c r="A195" t="str">
        <v>CAM-0190</v>
      </c>
      <c r="B195" t="str">
        <v>ACABADOS Y GYPSUM</v>
      </c>
      <c r="C195" t="str">
        <v>8.0309</v>
      </c>
      <c r="D195" s="97" t="str">
        <v>SELLADO DE FISURAS CON IMPERMEABILIZANTE LIQUIDO DE RESINA ACRÍLICA ELASTOMÉRICA.</v>
      </c>
      <c r="E195" t="str">
        <v>m²</v>
      </c>
      <c r="F195" s="95" t="n">
        <v>6.86</v>
      </c>
      <c r="G195" s="95" t="n">
        <v>2.25</v>
      </c>
      <c r="H195" s="95" t="n">
        <v>0.11</v>
      </c>
      <c r="I195" s="95" t="n">
        <v>9.22</v>
      </c>
      <c r="J195" s="96" t="n">
        <v>0.22</v>
      </c>
      <c r="K195" s="95" t="n">
        <f>I195*(1+J195)</f>
        <v>11.2484</v>
      </c>
      <c r="L195" s="96" t="n">
        <v>0.3</v>
      </c>
      <c r="M195" s="95" t="n">
        <f>K195*(1+L195)</f>
        <v>14.62292</v>
      </c>
      <c r="N195" t="str">
        <v>CAMICON · Quito</v>
      </c>
      <c r="O195" t="str">
        <v>Octubre–diciembre 2025</v>
      </c>
      <c r="P195" s="97" t="str">
        <v>REFERENCIAL QUITO · utilidad 30% provisional</v>
      </c>
      <c r="Q195" t="str">
        <v>RECUBRIMIENTOS</v>
      </c>
      <c r="R195" t="str">
        <v>sellado de fisuras con impermeabilizante liquido de resina acrilica elastomerica.</v>
      </c>
    </row>
    <row r="196">
      <c r="A196" t="str">
        <v>CAM-0191</v>
      </c>
      <c r="B196" t="str">
        <v>ACABADOS Y GYPSUM</v>
      </c>
      <c r="C196" t="str">
        <v>8.0310</v>
      </c>
      <c r="D196" s="97" t="str">
        <v>SELLADO DE FISURAS CON IMPERMEABILIZANTE LIQUIDO DE RESINA ACRÍLICA ELASTOMÉRICA Y MALLA DE POLIÉSTER.</v>
      </c>
      <c r="E196" t="str">
        <v>m²</v>
      </c>
      <c r="F196" s="95" t="n">
        <v>15.33</v>
      </c>
      <c r="G196" s="95" t="n">
        <v>3.59</v>
      </c>
      <c r="H196" s="95" t="n">
        <v>0.18</v>
      </c>
      <c r="I196" s="95" t="n">
        <v>19.1</v>
      </c>
      <c r="J196" s="96" t="n">
        <v>0.22</v>
      </c>
      <c r="K196" s="95" t="n">
        <f>I196*(1+J196)</f>
        <v>23.302</v>
      </c>
      <c r="L196" s="96" t="n">
        <v>0.3</v>
      </c>
      <c r="M196" s="95" t="n">
        <f>K196*(1+L196)</f>
        <v>30.2926</v>
      </c>
      <c r="N196" t="str">
        <v>CAMICON · Quito</v>
      </c>
      <c r="O196" t="str">
        <v>Octubre–diciembre 2025</v>
      </c>
      <c r="P196" s="97" t="str">
        <v>REFERENCIAL QUITO · utilidad 30% provisional</v>
      </c>
      <c r="Q196" t="str">
        <v>RECUBRIMIENTOS</v>
      </c>
      <c r="R196" t="str">
        <v>sellado de fisuras con impermeabilizante liquido de resina acrilica elastomerica y malla de poliester.</v>
      </c>
    </row>
    <row r="197">
      <c r="A197" t="str">
        <v>CAM-0192</v>
      </c>
      <c r="B197" t="str">
        <v>ACABADOS Y GYPSUM</v>
      </c>
      <c r="C197" t="str">
        <v>8.0311</v>
      </c>
      <c r="D197" s="97" t="str">
        <v>IMPERMEABILIZACIÓN DE FISURAS, GOTERAS, FILOS Y CUMBREROS UBICADOS CON LAMINA ASFÁLTICA E=10CM</v>
      </c>
      <c r="E197" t="str">
        <v>mtl</v>
      </c>
      <c r="F197" s="95" t="n">
        <v>1.61</v>
      </c>
      <c r="G197" s="95" t="n">
        <v>0.82</v>
      </c>
      <c r="H197" s="95" t="n">
        <v>0.36</v>
      </c>
      <c r="I197" s="95" t="n">
        <v>2.79</v>
      </c>
      <c r="J197" s="96" t="n">
        <v>0.22</v>
      </c>
      <c r="K197" s="95" t="n">
        <f>I197*(1+J197)</f>
        <v>3.4038</v>
      </c>
      <c r="L197" s="96" t="n">
        <v>0.3</v>
      </c>
      <c r="M197" s="95" t="n">
        <f>K197*(1+L197)</f>
        <v>4.42494</v>
      </c>
      <c r="N197" t="str">
        <v>CAMICON · Quito</v>
      </c>
      <c r="O197" t="str">
        <v>Octubre–diciembre 2025</v>
      </c>
      <c r="P197" s="97" t="str">
        <v>REFERENCIAL QUITO · utilidad 30% provisional</v>
      </c>
      <c r="Q197" t="str">
        <v>RECUBRIMIENTOS</v>
      </c>
      <c r="R197" t="str">
        <v>impermeabilizacion de fisuras, goteras, filos y cumbreros ubicados con lamina asfaltica e=10cm</v>
      </c>
    </row>
    <row r="198">
      <c r="A198" t="str">
        <v>CAM-0193</v>
      </c>
      <c r="B198" t="str">
        <v>ACABADOS Y GYPSUM</v>
      </c>
      <c r="C198" t="str">
        <v>8.0312</v>
      </c>
      <c r="D198" s="97" t="str">
        <v>IMPERMEABILIZACIÓN DE FISURAS, GOTERAS, FILOS Y CUMBREROS UBICADOS CON LAMINA ASFÁLTICA E=20CM</v>
      </c>
      <c r="E198" t="str">
        <v>mtl</v>
      </c>
      <c r="F198" s="95" t="n">
        <v>2.7</v>
      </c>
      <c r="G198" s="95" t="n">
        <v>1.53</v>
      </c>
      <c r="H198" s="95" t="n">
        <v>0.68</v>
      </c>
      <c r="I198" s="95" t="n">
        <v>4.91</v>
      </c>
      <c r="J198" s="96" t="n">
        <v>0.22</v>
      </c>
      <c r="K198" s="95" t="n">
        <f>I198*(1+J198)</f>
        <v>5.9902</v>
      </c>
      <c r="L198" s="96" t="n">
        <v>0.3</v>
      </c>
      <c r="M198" s="95" t="n">
        <f>K198*(1+L198)</f>
        <v>7.78726</v>
      </c>
      <c r="N198" t="str">
        <v>CAMICON · Quito</v>
      </c>
      <c r="O198" t="str">
        <v>Octubre–diciembre 2025</v>
      </c>
      <c r="P198" s="97" t="str">
        <v>REFERENCIAL QUITO · utilidad 30% provisional</v>
      </c>
      <c r="Q198" t="str">
        <v>RECUBRIMIENTOS</v>
      </c>
      <c r="R198" t="str">
        <v>impermeabilizacion de fisuras, goteras, filos y cumbreros ubicados con lamina asfaltica e=20cm</v>
      </c>
    </row>
    <row r="199">
      <c r="A199" t="str">
        <v>CAM-0194</v>
      </c>
      <c r="B199" t="str">
        <v>VARIOS, TRANSPORTE Y MONTAJE</v>
      </c>
      <c r="C199" t="str">
        <v>9.0101</v>
      </c>
      <c r="D199" s="97" t="str">
        <v>COLOCACIÓN DE BARRAS DE APOYOS EN BAÑOS</v>
      </c>
      <c r="E199" t="str">
        <v>u</v>
      </c>
      <c r="F199" s="95" t="n">
        <v>182.65</v>
      </c>
      <c r="G199" s="95" t="n">
        <v>17.97</v>
      </c>
      <c r="H199" s="95" t="n">
        <v>4.66</v>
      </c>
      <c r="I199" s="95" t="n">
        <v>205.28</v>
      </c>
      <c r="J199" s="96" t="n">
        <v>0.22</v>
      </c>
      <c r="K199" s="95" t="n">
        <f>I199*(1+J199)</f>
        <v>250.4416</v>
      </c>
      <c r="L199" s="96" t="n">
        <v>0.3</v>
      </c>
      <c r="M199" s="95" t="n">
        <f>K199*(1+L199)</f>
        <v>325.57408</v>
      </c>
      <c r="N199" t="str">
        <v>CAMICON · Quito</v>
      </c>
      <c r="O199" t="str">
        <v>Octubre–diciembre 2025</v>
      </c>
      <c r="P199" s="97" t="str">
        <v>REFERENCIAL QUITO · utilidad 30% provisional</v>
      </c>
      <c r="Q199" t="str">
        <v>CARPINTERÍA</v>
      </c>
      <c r="R199" t="str">
        <v>colocacion de barras de apoyos en banos</v>
      </c>
    </row>
    <row r="200">
      <c r="A200" t="str">
        <v>CAM-0195</v>
      </c>
      <c r="B200" t="str">
        <v>VARIOS, TRANSPORTE Y MONTAJE</v>
      </c>
      <c r="C200" t="str">
        <v>9.0102</v>
      </c>
      <c r="D200" s="97" t="str">
        <v>COLUMPIO 3 ELEMENTOS</v>
      </c>
      <c r="E200" t="str">
        <v>u</v>
      </c>
      <c r="F200" s="95" t="n">
        <v>328.25</v>
      </c>
      <c r="G200" s="95" t="n">
        <v>179.08</v>
      </c>
      <c r="H200" s="95" t="n">
        <v>141.39</v>
      </c>
      <c r="I200" s="95" t="n">
        <v>648.72</v>
      </c>
      <c r="J200" s="96" t="n">
        <v>0.22</v>
      </c>
      <c r="K200" s="95" t="n">
        <f>I200*(1+J200)</f>
        <v>791.4384</v>
      </c>
      <c r="L200" s="96" t="n">
        <v>0.3</v>
      </c>
      <c r="M200" s="95" t="n">
        <f>K200*(1+L200)</f>
        <v>1028.86992</v>
      </c>
      <c r="N200" t="str">
        <v>CAMICON · Quito</v>
      </c>
      <c r="O200" t="str">
        <v>Octubre–diciembre 2025</v>
      </c>
      <c r="P200" s="97" t="str">
        <v>REFERENCIAL QUITO · utilidad 30% provisional</v>
      </c>
      <c r="Q200" t="str">
        <v>CARPINTERÍA</v>
      </c>
      <c r="R200" t="str">
        <v>columpio 3 elementos</v>
      </c>
    </row>
    <row r="201">
      <c r="A201" t="str">
        <v>CAM-0196</v>
      </c>
      <c r="B201" t="str">
        <v>VIDRIO Y ALUMINIO</v>
      </c>
      <c r="C201" t="str">
        <v>9.0103</v>
      </c>
      <c r="D201" s="97" t="str">
        <v>CORTINA DE BAÑO VIDRIO TEMPLADO 8MM</v>
      </c>
      <c r="E201" t="str">
        <v>m²</v>
      </c>
      <c r="F201" s="95" t="n">
        <v>87.97</v>
      </c>
      <c r="G201" s="95" t="n">
        <v>26.48</v>
      </c>
      <c r="H201" s="95" t="n">
        <v>10.22</v>
      </c>
      <c r="I201" s="95" t="n">
        <v>124.67</v>
      </c>
      <c r="J201" s="96" t="n">
        <v>0.22</v>
      </c>
      <c r="K201" s="95" t="n">
        <f>I201*(1+J201)</f>
        <v>152.0974</v>
      </c>
      <c r="L201" s="96" t="n">
        <v>0.3</v>
      </c>
      <c r="M201" s="95" t="n">
        <f>K201*(1+L201)</f>
        <v>197.72662</v>
      </c>
      <c r="N201" t="str">
        <v>CAMICON · Quito</v>
      </c>
      <c r="O201" t="str">
        <v>Octubre–diciembre 2025</v>
      </c>
      <c r="P201" s="97" t="str">
        <v>REFERENCIAL QUITO · utilidad 30% provisional</v>
      </c>
      <c r="Q201" t="str">
        <v>CARPINTERÍA</v>
      </c>
      <c r="R201" t="str">
        <v>cortina de bano vidrio templado 8mm</v>
      </c>
    </row>
    <row r="202">
      <c r="A202" t="str">
        <v>CAM-0197</v>
      </c>
      <c r="B202" t="str">
        <v>VIDRIO Y ALUMINIO</v>
      </c>
      <c r="C202" t="str">
        <v>9.0104</v>
      </c>
      <c r="D202" s="97" t="str">
        <v>DIVISIÓN DE VIDRIO PARA OFICINA</v>
      </c>
      <c r="E202" t="str">
        <v>m²</v>
      </c>
      <c r="F202" s="95" t="n">
        <v>40.99</v>
      </c>
      <c r="G202" s="95" t="n">
        <v>10.95</v>
      </c>
      <c r="H202" s="95" t="n">
        <v>3.09</v>
      </c>
      <c r="I202" s="95" t="n">
        <v>55.03</v>
      </c>
      <c r="J202" s="96" t="n">
        <v>0.22</v>
      </c>
      <c r="K202" s="95" t="n">
        <f>I202*(1+J202)</f>
        <v>67.1366</v>
      </c>
      <c r="L202" s="96" t="n">
        <v>0.3</v>
      </c>
      <c r="M202" s="95" t="n">
        <f>K202*(1+L202)</f>
        <v>87.27758</v>
      </c>
      <c r="N202" t="str">
        <v>CAMICON · Quito</v>
      </c>
      <c r="O202" t="str">
        <v>Octubre–diciembre 2025</v>
      </c>
      <c r="P202" s="97" t="str">
        <v>REFERENCIAL QUITO · utilidad 30% provisional</v>
      </c>
      <c r="Q202" t="str">
        <v>CARPINTERÍA</v>
      </c>
      <c r="R202" t="str">
        <v>division de vidrio para oficina</v>
      </c>
    </row>
    <row r="203">
      <c r="A203" t="str">
        <v>CAM-0198</v>
      </c>
      <c r="B203" t="str">
        <v>VIDRIO Y ALUMINIO</v>
      </c>
      <c r="C203" t="str">
        <v>9.0105</v>
      </c>
      <c r="D203" s="97" t="str">
        <v>MAMPARA DE VIDRIO LAMINADO 6MM, ALUMINIO NATURAL</v>
      </c>
      <c r="E203" t="str">
        <v>m²</v>
      </c>
      <c r="F203" s="95" t="n">
        <v>49.19</v>
      </c>
      <c r="G203" s="95" t="n">
        <v>27.38</v>
      </c>
      <c r="H203" s="95" t="n">
        <v>7.73</v>
      </c>
      <c r="I203" s="95" t="n">
        <v>84.3</v>
      </c>
      <c r="J203" s="96" t="n">
        <v>0.22</v>
      </c>
      <c r="K203" s="95" t="n">
        <f>I203*(1+J203)</f>
        <v>102.84599999999999</v>
      </c>
      <c r="L203" s="96" t="n">
        <v>0.3</v>
      </c>
      <c r="M203" s="95" t="n">
        <f>K203*(1+L203)</f>
        <v>133.69979999999998</v>
      </c>
      <c r="N203" t="str">
        <v>CAMICON · Quito</v>
      </c>
      <c r="O203" t="str">
        <v>Octubre–diciembre 2025</v>
      </c>
      <c r="P203" s="97" t="str">
        <v>REFERENCIAL QUITO · utilidad 30% provisional</v>
      </c>
      <c r="Q203" t="str">
        <v>CARPINTERÍA</v>
      </c>
      <c r="R203" t="str">
        <v>mampara de vidrio laminado 6mm, aluminio natural</v>
      </c>
    </row>
    <row r="204">
      <c r="A204" t="str">
        <v>CAM-0199</v>
      </c>
      <c r="B204" t="str">
        <v>VIDRIO Y ALUMINIO</v>
      </c>
      <c r="C204" t="str">
        <v>9.0106</v>
      </c>
      <c r="D204" s="97" t="str">
        <v>MAMPARA DE VIDRIO TEMPLADO 10 MM, ALUMINIO NATURAL</v>
      </c>
      <c r="E204" t="str">
        <v>m²</v>
      </c>
      <c r="F204" s="95" t="n">
        <v>118.7</v>
      </c>
      <c r="G204" s="95" t="n">
        <v>27.38</v>
      </c>
      <c r="H204" s="95" t="n">
        <v>7.73</v>
      </c>
      <c r="I204" s="95" t="n">
        <v>153.81</v>
      </c>
      <c r="J204" s="96" t="n">
        <v>0.22</v>
      </c>
      <c r="K204" s="95" t="n">
        <f>I204*(1+J204)</f>
        <v>187.6482</v>
      </c>
      <c r="L204" s="96" t="n">
        <v>0.3</v>
      </c>
      <c r="M204" s="95" t="n">
        <f>K204*(1+L204)</f>
        <v>243.94266000000002</v>
      </c>
      <c r="N204" t="str">
        <v>CAMICON · Quito</v>
      </c>
      <c r="O204" t="str">
        <v>Octubre–diciembre 2025</v>
      </c>
      <c r="P204" s="97" t="str">
        <v>REFERENCIAL QUITO · utilidad 30% provisional</v>
      </c>
      <c r="Q204" t="str">
        <v>CARPINTERÍA</v>
      </c>
      <c r="R204" t="str">
        <v>mampara de vidrio templado 10 mm, aluminio natural</v>
      </c>
    </row>
    <row r="205">
      <c r="A205" t="str">
        <v>CAM-0200</v>
      </c>
      <c r="B205" t="str">
        <v>VIDRIO Y ALUMINIO</v>
      </c>
      <c r="C205" t="str">
        <v>9.0107</v>
      </c>
      <c r="D205" s="97" t="str">
        <v>PASAMANO DE ACERO INOXIDABLE 2" Y VIDRIO TEMPLADO 10 MM</v>
      </c>
      <c r="E205" t="str">
        <v>mtl</v>
      </c>
      <c r="F205" s="95" t="n">
        <v>192.79</v>
      </c>
      <c r="G205" s="95" t="n">
        <v>13.48</v>
      </c>
      <c r="H205" s="95" t="n">
        <v>4.03</v>
      </c>
      <c r="I205" s="95" t="n">
        <v>210.3</v>
      </c>
      <c r="J205" s="96" t="n">
        <v>0.22</v>
      </c>
      <c r="K205" s="95" t="n">
        <f>I205*(1+J205)</f>
        <v>256.56600000000003</v>
      </c>
      <c r="L205" s="96" t="n">
        <v>0.3</v>
      </c>
      <c r="M205" s="95" t="n">
        <f>K205*(1+L205)</f>
        <v>333.53580000000005</v>
      </c>
      <c r="N205" t="str">
        <v>CAMICON · Quito</v>
      </c>
      <c r="O205" t="str">
        <v>Octubre–diciembre 2025</v>
      </c>
      <c r="P205" s="97" t="str">
        <v>REFERENCIAL QUITO · utilidad 30% provisional</v>
      </c>
      <c r="Q205" t="str">
        <v>CARPINTERÍA</v>
      </c>
      <c r="R205" t="str">
        <v>pasamano de acero inoxidable 2" y vidrio templado 10 mm</v>
      </c>
    </row>
    <row r="206">
      <c r="A206" t="str">
        <v>CAM-0201</v>
      </c>
      <c r="B206" t="str">
        <v>VARIOS, TRANSPORTE Y MONTAJE</v>
      </c>
      <c r="C206" t="str">
        <v>9.0108</v>
      </c>
      <c r="D206" s="97" t="str">
        <v>PASAMANO DE HIERRO (C/MANGÓN MADERA)</v>
      </c>
      <c r="E206" t="str">
        <v>mtl</v>
      </c>
      <c r="F206" s="95" t="n">
        <v>40.81</v>
      </c>
      <c r="G206" s="95" t="n">
        <v>13.48</v>
      </c>
      <c r="H206" s="95" t="n">
        <v>11.07</v>
      </c>
      <c r="I206" s="95" t="n">
        <v>65.36</v>
      </c>
      <c r="J206" s="96" t="n">
        <v>0.22</v>
      </c>
      <c r="K206" s="95" t="n">
        <f>I206*(1+J206)</f>
        <v>79.7392</v>
      </c>
      <c r="L206" s="96" t="n">
        <v>0.3</v>
      </c>
      <c r="M206" s="95" t="n">
        <f>K206*(1+L206)</f>
        <v>103.66096</v>
      </c>
      <c r="N206" t="str">
        <v>CAMICON · Quito</v>
      </c>
      <c r="O206" t="str">
        <v>Octubre–diciembre 2025</v>
      </c>
      <c r="P206" s="97" t="str">
        <v>REFERENCIAL QUITO · utilidad 30% provisional</v>
      </c>
      <c r="Q206" t="str">
        <v>CARPINTERÍA</v>
      </c>
      <c r="R206" t="str">
        <v>pasamano de hierro (c/mangon madera)</v>
      </c>
    </row>
    <row r="207">
      <c r="A207" t="str">
        <v>CAM-0202</v>
      </c>
      <c r="B207" t="str">
        <v>ACABADOS Y GYPSUM</v>
      </c>
      <c r="C207" t="str">
        <v>9.0109</v>
      </c>
      <c r="D207" s="97" t="str">
        <v>PASAMANOS DE 2'' INCLUYE PINTURA ANTICORROSIVA</v>
      </c>
      <c r="E207" t="str">
        <v>mtl</v>
      </c>
      <c r="F207" s="95" t="n">
        <v>14.54</v>
      </c>
      <c r="G207" s="95" t="n">
        <v>15.72</v>
      </c>
      <c r="H207" s="95" t="n">
        <v>12.92</v>
      </c>
      <c r="I207" s="95" t="n">
        <v>43.18</v>
      </c>
      <c r="J207" s="96" t="n">
        <v>0.22</v>
      </c>
      <c r="K207" s="95" t="n">
        <f>I207*(1+J207)</f>
        <v>52.6796</v>
      </c>
      <c r="L207" s="96" t="n">
        <v>0.3</v>
      </c>
      <c r="M207" s="95" t="n">
        <f>K207*(1+L207)</f>
        <v>68.48348</v>
      </c>
      <c r="N207" t="str">
        <v>CAMICON · Quito</v>
      </c>
      <c r="O207" t="str">
        <v>Octubre–diciembre 2025</v>
      </c>
      <c r="P207" s="97" t="str">
        <v>REFERENCIAL QUITO · utilidad 30% provisional</v>
      </c>
      <c r="Q207" t="str">
        <v>CARPINTERÍA</v>
      </c>
      <c r="R207" t="str">
        <v>pasamanos de 2'' incluye pintura anticorrosiva</v>
      </c>
    </row>
    <row r="208">
      <c r="A208" t="str">
        <v>CAM-0203</v>
      </c>
      <c r="B208" t="str">
        <v>VIDRIO Y ALUMINIO</v>
      </c>
      <c r="C208" t="str">
        <v>9.0110</v>
      </c>
      <c r="D208" s="97" t="str">
        <v>PIEL DE VIDRIO CON ACCESORIOS DE ACERO INOXIDABLE</v>
      </c>
      <c r="E208" t="str">
        <v>m²</v>
      </c>
      <c r="F208" s="95" t="n">
        <v>77.6</v>
      </c>
      <c r="G208" s="95" t="n">
        <v>53.91</v>
      </c>
      <c r="H208" s="95" t="n">
        <v>16.95</v>
      </c>
      <c r="I208" s="95" t="n">
        <v>148.46</v>
      </c>
      <c r="J208" s="96" t="n">
        <v>0.22</v>
      </c>
      <c r="K208" s="95" t="n">
        <f>I208*(1+J208)</f>
        <v>181.12120000000002</v>
      </c>
      <c r="L208" s="96" t="n">
        <v>0.3</v>
      </c>
      <c r="M208" s="95" t="n">
        <f>K208*(1+L208)</f>
        <v>235.45756000000003</v>
      </c>
      <c r="N208" t="str">
        <v>CAMICON · Quito</v>
      </c>
      <c r="O208" t="str">
        <v>Octubre–diciembre 2025</v>
      </c>
      <c r="P208" s="97" t="str">
        <v>REFERENCIAL QUITO · utilidad 30% provisional</v>
      </c>
      <c r="Q208" t="str">
        <v>CARPINTERÍA</v>
      </c>
      <c r="R208" t="str">
        <v>piel de vidrio con accesorios de acero inoxidable</v>
      </c>
    </row>
    <row r="209">
      <c r="A209" t="str">
        <v>CAM-0204</v>
      </c>
      <c r="B209" t="str">
        <v>VIDRIO Y ALUMINIO</v>
      </c>
      <c r="C209" t="str">
        <v>9.0111</v>
      </c>
      <c r="D209" s="97" t="str">
        <v>PUERTA DE ALUMINIO Y VIDRIO 6 MM (INCL. CERRADURA)</v>
      </c>
      <c r="E209" t="str">
        <v>m²</v>
      </c>
      <c r="F209" s="95" t="n">
        <v>235.67</v>
      </c>
      <c r="G209" s="95" t="n">
        <v>31.45</v>
      </c>
      <c r="H209" s="95" t="n">
        <v>1.57</v>
      </c>
      <c r="I209" s="95" t="n">
        <v>268.69</v>
      </c>
      <c r="J209" s="96" t="n">
        <v>0.22</v>
      </c>
      <c r="K209" s="95" t="n">
        <f>I209*(1+J209)</f>
        <v>327.8018</v>
      </c>
      <c r="L209" s="96" t="n">
        <v>0.3</v>
      </c>
      <c r="M209" s="95" t="n">
        <f>K209*(1+L209)</f>
        <v>426.14234000000005</v>
      </c>
      <c r="N209" t="str">
        <v>CAMICON · Quito</v>
      </c>
      <c r="O209" t="str">
        <v>Octubre–diciembre 2025</v>
      </c>
      <c r="P209" s="97" t="str">
        <v>REFERENCIAL QUITO · utilidad 30% provisional</v>
      </c>
      <c r="Q209" t="str">
        <v>CARPINTERÍA</v>
      </c>
      <c r="R209" t="str">
        <v>puerta de aluminio y vidrio 6 mm (incl. cerradura)</v>
      </c>
    </row>
    <row r="210">
      <c r="A210" t="str">
        <v>CAM-0205</v>
      </c>
      <c r="B210" t="str">
        <v>VARIOS, TRANSPORTE Y MONTAJE</v>
      </c>
      <c r="C210" t="str">
        <v>9.0112</v>
      </c>
      <c r="D210" s="97" t="str">
        <v>PUERTA DE MALLA GALVANIZADA 50/10 CON TUBO POSTE 2"</v>
      </c>
      <c r="E210" t="str">
        <v>m²</v>
      </c>
      <c r="F210" s="95" t="n">
        <v>86.87</v>
      </c>
      <c r="G210" s="95" t="n">
        <v>19.43</v>
      </c>
      <c r="H210" s="95" t="n">
        <v>8.39</v>
      </c>
      <c r="I210" s="95" t="n">
        <v>114.69</v>
      </c>
      <c r="J210" s="96" t="n">
        <v>0.22</v>
      </c>
      <c r="K210" s="95" t="n">
        <f>I210*(1+J210)</f>
        <v>139.9218</v>
      </c>
      <c r="L210" s="96" t="n">
        <v>0.3</v>
      </c>
      <c r="M210" s="95" t="n">
        <f>K210*(1+L210)</f>
        <v>181.89834</v>
      </c>
      <c r="N210" t="str">
        <v>CAMICON · Quito</v>
      </c>
      <c r="O210" t="str">
        <v>Octubre–diciembre 2025</v>
      </c>
      <c r="P210" s="97" t="str">
        <v>REFERENCIAL QUITO · utilidad 30% provisional</v>
      </c>
      <c r="Q210" t="str">
        <v>CARPINTERÍA</v>
      </c>
      <c r="R210" t="str">
        <v>puerta de malla galvanizada 50/10 con tubo poste 2"</v>
      </c>
    </row>
    <row r="211">
      <c r="A211" t="str">
        <v>CAM-0206</v>
      </c>
      <c r="B211" t="str">
        <v>VIDRIO Y ALUMINIO</v>
      </c>
      <c r="C211" t="str">
        <v>9.0113</v>
      </c>
      <c r="D211" s="97" t="str">
        <v>REJA EN VENTANA CON BARRA CUADRADA</v>
      </c>
      <c r="E211" t="str">
        <v>m²</v>
      </c>
      <c r="F211" s="95" t="n">
        <v>13.52</v>
      </c>
      <c r="G211" s="95" t="n">
        <v>11.3</v>
      </c>
      <c r="H211" s="95" t="n">
        <v>11.68</v>
      </c>
      <c r="I211" s="95" t="n">
        <v>36.5</v>
      </c>
      <c r="J211" s="96" t="n">
        <v>0.22</v>
      </c>
      <c r="K211" s="95" t="n">
        <f>I211*(1+J211)</f>
        <v>44.53</v>
      </c>
      <c r="L211" s="96" t="n">
        <v>0.3</v>
      </c>
      <c r="M211" s="95" t="n">
        <f>K211*(1+L211)</f>
        <v>57.889</v>
      </c>
      <c r="N211" t="str">
        <v>CAMICON · Quito</v>
      </c>
      <c r="O211" t="str">
        <v>Octubre–diciembre 2025</v>
      </c>
      <c r="P211" s="97" t="str">
        <v>REFERENCIAL QUITO · utilidad 30% provisional</v>
      </c>
      <c r="Q211" t="str">
        <v>CARPINTERÍA</v>
      </c>
      <c r="R211" t="str">
        <v>reja en ventana con barra cuadrada</v>
      </c>
    </row>
    <row r="212">
      <c r="A212" t="str">
        <v>CAM-0207</v>
      </c>
      <c r="B212" t="str">
        <v>VARIOS, TRANSPORTE Y MONTAJE</v>
      </c>
      <c r="C212" t="str">
        <v>9.0114</v>
      </c>
      <c r="D212" s="97" t="str">
        <v>RESBALADERA METÁLICA</v>
      </c>
      <c r="E212" t="str">
        <v>u</v>
      </c>
      <c r="F212" s="95" t="n">
        <v>120.85</v>
      </c>
      <c r="G212" s="95" t="n">
        <v>142.3</v>
      </c>
      <c r="H212" s="95" t="n">
        <v>132.02</v>
      </c>
      <c r="I212" s="95" t="n">
        <v>395.17</v>
      </c>
      <c r="J212" s="96" t="n">
        <v>0.22</v>
      </c>
      <c r="K212" s="95" t="n">
        <f>I212*(1+J212)</f>
        <v>482.1074</v>
      </c>
      <c r="L212" s="96" t="n">
        <v>0.3</v>
      </c>
      <c r="M212" s="95" t="n">
        <f>K212*(1+L212)</f>
        <v>626.73962</v>
      </c>
      <c r="N212" t="str">
        <v>CAMICON · Quito</v>
      </c>
      <c r="O212" t="str">
        <v>Octubre–diciembre 2025</v>
      </c>
      <c r="P212" s="97" t="str">
        <v>REFERENCIAL QUITO · utilidad 30% provisional</v>
      </c>
      <c r="Q212" t="str">
        <v>CARPINTERÍA</v>
      </c>
      <c r="R212" t="str">
        <v>resbaladera metalica</v>
      </c>
    </row>
    <row r="213">
      <c r="A213" t="str">
        <v>CAM-0208</v>
      </c>
      <c r="B213" t="str">
        <v>VIDRIO Y ALUMINIO</v>
      </c>
      <c r="C213" t="str">
        <v>9.0115</v>
      </c>
      <c r="D213" s="97" t="str">
        <v>VENTANA BATIENTE DE ALUMINIO NATURAL 60X60 CON VIDRIO FLOTADO 6 MM</v>
      </c>
      <c r="E213" t="str">
        <v>m²</v>
      </c>
      <c r="F213" s="95" t="n">
        <v>82.47</v>
      </c>
      <c r="G213" s="95" t="n">
        <v>14.2</v>
      </c>
      <c r="H213" s="95" t="n">
        <v>4.07</v>
      </c>
      <c r="I213" s="95" t="n">
        <v>100.74</v>
      </c>
      <c r="J213" s="96" t="n">
        <v>0.22</v>
      </c>
      <c r="K213" s="95" t="n">
        <f>I213*(1+J213)</f>
        <v>122.90279999999998</v>
      </c>
      <c r="L213" s="96" t="n">
        <v>0.3</v>
      </c>
      <c r="M213" s="95" t="n">
        <f>K213*(1+L213)</f>
        <v>159.77363999999997</v>
      </c>
      <c r="N213" t="str">
        <v>CAMICON · Quito</v>
      </c>
      <c r="O213" t="str">
        <v>Octubre–diciembre 2025</v>
      </c>
      <c r="P213" s="97" t="str">
        <v>REFERENCIAL QUITO · utilidad 30% provisional</v>
      </c>
      <c r="Q213" t="str">
        <v>CARPINTERÍA</v>
      </c>
      <c r="R213" t="str">
        <v>ventana batiente de aluminio natural 60x60 con vidrio flotado 6 mm</v>
      </c>
    </row>
    <row r="214">
      <c r="A214" t="str">
        <v>CAM-0209</v>
      </c>
      <c r="B214" t="str">
        <v>VIDRIO Y ALUMINIO</v>
      </c>
      <c r="C214" t="str">
        <v>9.0116</v>
      </c>
      <c r="D214" s="97" t="str">
        <v>VENTANA CORREDIZA DE ALUMINIO NATURAL Y VIDRIO FLOTADO 6 MM</v>
      </c>
      <c r="E214" t="str">
        <v>m²</v>
      </c>
      <c r="F214" s="95" t="n">
        <v>68.9</v>
      </c>
      <c r="G214" s="95" t="n">
        <v>8.99</v>
      </c>
      <c r="H214" s="95" t="n">
        <v>3.63</v>
      </c>
      <c r="I214" s="95" t="n">
        <v>81.52</v>
      </c>
      <c r="J214" s="96" t="n">
        <v>0.22</v>
      </c>
      <c r="K214" s="95" t="n">
        <f>I214*(1+J214)</f>
        <v>99.45439999999999</v>
      </c>
      <c r="L214" s="96" t="n">
        <v>0.3</v>
      </c>
      <c r="M214" s="95" t="n">
        <f>K214*(1+L214)</f>
        <v>129.29072</v>
      </c>
      <c r="N214" t="str">
        <v>CAMICON · Quito</v>
      </c>
      <c r="O214" t="str">
        <v>Octubre–diciembre 2025</v>
      </c>
      <c r="P214" s="97" t="str">
        <v>REFERENCIAL QUITO · utilidad 30% provisional</v>
      </c>
      <c r="Q214" t="str">
        <v>CARPINTERÍA</v>
      </c>
      <c r="R214" t="str">
        <v>ventana corrediza de aluminio natural y vidrio flotado 6 mm</v>
      </c>
    </row>
    <row r="215">
      <c r="A215" t="str">
        <v>CAM-0210</v>
      </c>
      <c r="B215" t="str">
        <v>VIDRIO Y ALUMINIO</v>
      </c>
      <c r="C215" t="str">
        <v>9.0117</v>
      </c>
      <c r="D215" s="97" t="str">
        <v>VENTANA DE ALUMINIO NATURAL CON VIDRIO FLOTADO DE 4 MM</v>
      </c>
      <c r="E215" t="str">
        <v>m²</v>
      </c>
      <c r="F215" s="95" t="n">
        <v>72.33</v>
      </c>
      <c r="G215" s="95" t="n">
        <v>9.46</v>
      </c>
      <c r="H215" s="95" t="n">
        <v>2.04</v>
      </c>
      <c r="I215" s="95" t="n">
        <v>83.83</v>
      </c>
      <c r="J215" s="96" t="n">
        <v>0.22</v>
      </c>
      <c r="K215" s="95" t="n">
        <f>I215*(1+J215)</f>
        <v>102.2726</v>
      </c>
      <c r="L215" s="96" t="n">
        <v>0.3</v>
      </c>
      <c r="M215" s="95" t="n">
        <f>K215*(1+L215)</f>
        <v>132.95438000000001</v>
      </c>
      <c r="N215" t="str">
        <v>CAMICON · Quito</v>
      </c>
      <c r="O215" t="str">
        <v>Octubre–diciembre 2025</v>
      </c>
      <c r="P215" s="97" t="str">
        <v>REFERENCIAL QUITO · utilidad 30% provisional</v>
      </c>
      <c r="Q215" t="str">
        <v>CARPINTERÍA</v>
      </c>
      <c r="R215" t="str">
        <v>ventana de aluminio natural con vidrio flotado de 4 mm</v>
      </c>
    </row>
    <row r="216">
      <c r="A216" t="str">
        <v>CAM-0211</v>
      </c>
      <c r="B216" t="str">
        <v>VIDRIO Y ALUMINIO</v>
      </c>
      <c r="C216" t="str">
        <v>9.0118</v>
      </c>
      <c r="D216" s="97" t="str">
        <v>VENTANA DE ALUMINIO NATURAL CON VIDRIO FLOTADO DE 6 MM</v>
      </c>
      <c r="E216" t="str">
        <v>m²</v>
      </c>
      <c r="F216" s="95" t="n">
        <v>78.25</v>
      </c>
      <c r="G216" s="95" t="n">
        <v>9.46</v>
      </c>
      <c r="H216" s="95" t="n">
        <v>2.04</v>
      </c>
      <c r="I216" s="95" t="n">
        <v>89.75</v>
      </c>
      <c r="J216" s="96" t="n">
        <v>0.22</v>
      </c>
      <c r="K216" s="95" t="n">
        <f>I216*(1+J216)</f>
        <v>109.495</v>
      </c>
      <c r="L216" s="96" t="n">
        <v>0.3</v>
      </c>
      <c r="M216" s="95" t="n">
        <f>K216*(1+L216)</f>
        <v>142.3435</v>
      </c>
      <c r="N216" t="str">
        <v>CAMICON · Quito</v>
      </c>
      <c r="O216" t="str">
        <v>Octubre–diciembre 2025</v>
      </c>
      <c r="P216" s="97" t="str">
        <v>REFERENCIAL QUITO · utilidad 30% provisional</v>
      </c>
      <c r="Q216" t="str">
        <v>CARPINTERÍA</v>
      </c>
      <c r="R216" t="str">
        <v>ventana de aluminio natural con vidrio flotado de 6 mm</v>
      </c>
    </row>
    <row r="217">
      <c r="A217" t="str">
        <v>CAM-0212</v>
      </c>
      <c r="B217" t="str">
        <v>VIDRIO Y ALUMINIO</v>
      </c>
      <c r="C217" t="str">
        <v>9.0119</v>
      </c>
      <c r="D217" s="97" t="str">
        <v>VENTANA DE HIERRO CON REJILLA, PROTECCIÓN CON BARRA CUADRADA (NO INC. VIDRIO)</v>
      </c>
      <c r="E217" t="str">
        <v>m²</v>
      </c>
      <c r="F217" s="95" t="n">
        <v>14.84</v>
      </c>
      <c r="G217" s="95" t="n">
        <v>10.01</v>
      </c>
      <c r="H217" s="95" t="n">
        <v>9.59</v>
      </c>
      <c r="I217" s="95" t="n">
        <v>34.44</v>
      </c>
      <c r="J217" s="96" t="n">
        <v>0.22</v>
      </c>
      <c r="K217" s="95" t="n">
        <f>I217*(1+J217)</f>
        <v>42.016799999999996</v>
      </c>
      <c r="L217" s="96" t="n">
        <v>0.3</v>
      </c>
      <c r="M217" s="95" t="n">
        <f>K217*(1+L217)</f>
        <v>54.62184</v>
      </c>
      <c r="N217" t="str">
        <v>CAMICON · Quito</v>
      </c>
      <c r="O217" t="str">
        <v>Octubre–diciembre 2025</v>
      </c>
      <c r="P217" s="97" t="str">
        <v>REFERENCIAL QUITO · utilidad 30% provisional</v>
      </c>
      <c r="Q217" t="str">
        <v>CARPINTERÍA</v>
      </c>
      <c r="R217" t="str">
        <v>ventana de hierro con rejilla, proteccion con barra cuadrada (no inc. vidrio)</v>
      </c>
    </row>
    <row r="218">
      <c r="A218" t="str">
        <v>CAM-0213</v>
      </c>
      <c r="B218" t="str">
        <v>VIDRIO Y ALUMINIO</v>
      </c>
      <c r="C218" t="str">
        <v>9.0120</v>
      </c>
      <c r="D218" s="97" t="str">
        <v>VENTANA DE HIERRO SIN REJILLA INC. PINTURA (NO INC. VIDRIO)</v>
      </c>
      <c r="E218" t="str">
        <v>m²</v>
      </c>
      <c r="F218" s="95" t="n">
        <v>5.17</v>
      </c>
      <c r="G218" s="95" t="n">
        <v>8.34</v>
      </c>
      <c r="H218" s="95" t="n">
        <v>8</v>
      </c>
      <c r="I218" s="95" t="n">
        <v>21.51</v>
      </c>
      <c r="J218" s="96" t="n">
        <v>0.22</v>
      </c>
      <c r="K218" s="95" t="n">
        <f>I218*(1+J218)</f>
        <v>26.2422</v>
      </c>
      <c r="L218" s="96" t="n">
        <v>0.3</v>
      </c>
      <c r="M218" s="95" t="n">
        <f>K218*(1+L218)</f>
        <v>34.11486</v>
      </c>
      <c r="N218" t="str">
        <v>CAMICON · Quito</v>
      </c>
      <c r="O218" t="str">
        <v>Octubre–diciembre 2025</v>
      </c>
      <c r="P218" s="97" t="str">
        <v>REFERENCIAL QUITO · utilidad 30% provisional</v>
      </c>
      <c r="Q218" t="str">
        <v>CARPINTERÍA</v>
      </c>
      <c r="R218" t="str">
        <v>ventana de hierro sin rejilla inc. pintura (no inc. vidrio)</v>
      </c>
    </row>
    <row r="219">
      <c r="A219" t="str">
        <v>CAM-0214</v>
      </c>
      <c r="B219" t="str">
        <v>VIDRIO Y ALUMINIO</v>
      </c>
      <c r="C219" t="str">
        <v>9.0121</v>
      </c>
      <c r="D219" s="97" t="str">
        <v>VENTANA PROYECTABLE DE ALUMINIO NATURAL 60X60 CM CON VIDRIO FLOTADO 6 MM</v>
      </c>
      <c r="E219" t="str">
        <v>m²</v>
      </c>
      <c r="F219" s="95" t="n">
        <v>83.58</v>
      </c>
      <c r="G219" s="95" t="n">
        <v>14.2</v>
      </c>
      <c r="H219" s="95" t="n">
        <v>4.07</v>
      </c>
      <c r="I219" s="95" t="n">
        <v>101.85</v>
      </c>
      <c r="J219" s="96" t="n">
        <v>0.22</v>
      </c>
      <c r="K219" s="95" t="n">
        <f>I219*(1+J219)</f>
        <v>124.25699999999999</v>
      </c>
      <c r="L219" s="96" t="n">
        <v>0.3</v>
      </c>
      <c r="M219" s="95" t="n">
        <f>K219*(1+L219)</f>
        <v>161.5341</v>
      </c>
      <c r="N219" t="str">
        <v>CAMICON · Quito</v>
      </c>
      <c r="O219" t="str">
        <v>Octubre–diciembre 2025</v>
      </c>
      <c r="P219" s="97" t="str">
        <v>REFERENCIAL QUITO · utilidad 30% provisional</v>
      </c>
      <c r="Q219" t="str">
        <v>CARPINTERÍA</v>
      </c>
      <c r="R219" t="str">
        <v>ventana proyectable de aluminio natural 60x60 cm con vidrio flotado 6 mm</v>
      </c>
    </row>
    <row r="220">
      <c r="A220" t="str">
        <v>CAM-0215</v>
      </c>
      <c r="B220" t="str">
        <v>VARIOS, TRANSPORTE Y MONTAJE</v>
      </c>
      <c r="C220" t="str">
        <v>9,0201</v>
      </c>
      <c r="D220" s="97" t="str">
        <v>CERRADURA BAÑO CROMADA</v>
      </c>
      <c r="E220" t="str">
        <v>u</v>
      </c>
      <c r="F220" s="95" t="n">
        <v>12.06</v>
      </c>
      <c r="G220" s="95" t="n">
        <v>4.38</v>
      </c>
      <c r="H220" s="95" t="n">
        <v>1.16</v>
      </c>
      <c r="I220" s="95" t="n">
        <v>17.6</v>
      </c>
      <c r="J220" s="96" t="n">
        <v>0.22</v>
      </c>
      <c r="K220" s="95" t="n">
        <f>I220*(1+J220)</f>
        <v>21.472</v>
      </c>
      <c r="L220" s="96" t="n">
        <v>0.3</v>
      </c>
      <c r="M220" s="95" t="n">
        <f>K220*(1+L220)</f>
        <v>27.913600000000002</v>
      </c>
      <c r="N220" t="str">
        <v>CAMICON · Quito</v>
      </c>
      <c r="O220" t="str">
        <v>Octubre–diciembre 2025</v>
      </c>
      <c r="P220" s="97" t="str">
        <v>REFERENCIAL QUITO · utilidad 30% provisional</v>
      </c>
      <c r="Q220" t="str">
        <v>CARPINTERÍA</v>
      </c>
      <c r="R220" t="str">
        <v>cerradura bano cromada</v>
      </c>
    </row>
    <row r="221">
      <c r="A221" t="str">
        <v>CAM-0216</v>
      </c>
      <c r="B221" t="str">
        <v>VARIOS, TRANSPORTE Y MONTAJE</v>
      </c>
      <c r="C221" t="str">
        <v>9,0202</v>
      </c>
      <c r="D221" s="97" t="str">
        <v>CERRADURA DE POMO (DE PASILLO)</v>
      </c>
      <c r="E221" t="str">
        <v>u</v>
      </c>
      <c r="F221" s="95" t="n">
        <v>11.5</v>
      </c>
      <c r="G221" s="95" t="n">
        <v>4.38</v>
      </c>
      <c r="H221" s="95" t="n">
        <v>1.16</v>
      </c>
      <c r="I221" s="95" t="n">
        <v>17.04</v>
      </c>
      <c r="J221" s="96" t="n">
        <v>0.22</v>
      </c>
      <c r="K221" s="95" t="n">
        <f>I221*(1+J221)</f>
        <v>20.7888</v>
      </c>
      <c r="L221" s="96" t="n">
        <v>0.3</v>
      </c>
      <c r="M221" s="95" t="n">
        <f>K221*(1+L221)</f>
        <v>27.02544</v>
      </c>
      <c r="N221" t="str">
        <v>CAMICON · Quito</v>
      </c>
      <c r="O221" t="str">
        <v>Octubre–diciembre 2025</v>
      </c>
      <c r="P221" s="97" t="str">
        <v>REFERENCIAL QUITO · utilidad 30% provisional</v>
      </c>
      <c r="Q221" t="str">
        <v>CARPINTERÍA</v>
      </c>
      <c r="R221" t="str">
        <v>cerradura de pomo (de pasillo)</v>
      </c>
    </row>
    <row r="222">
      <c r="A222" t="str">
        <v>CAM-0217</v>
      </c>
      <c r="B222" t="str">
        <v>VARIOS, TRANSPORTE Y MONTAJE</v>
      </c>
      <c r="C222" t="str">
        <v>9,0203</v>
      </c>
      <c r="D222" s="97" t="str">
        <v>CERRADURA LLAVE LLAVE CROMADA</v>
      </c>
      <c r="E222" t="str">
        <v>u</v>
      </c>
      <c r="F222" s="95" t="n">
        <v>5.52</v>
      </c>
      <c r="G222" s="95" t="n">
        <v>4.38</v>
      </c>
      <c r="H222" s="95" t="n">
        <v>1.16</v>
      </c>
      <c r="I222" s="95" t="n">
        <v>11.06</v>
      </c>
      <c r="J222" s="96" t="n">
        <v>0.22</v>
      </c>
      <c r="K222" s="95" t="n">
        <f>I222*(1+J222)</f>
        <v>13.4932</v>
      </c>
      <c r="L222" s="96" t="n">
        <v>0.3</v>
      </c>
      <c r="M222" s="95" t="n">
        <f>K222*(1+L222)</f>
        <v>17.54116</v>
      </c>
      <c r="N222" t="str">
        <v>CAMICON · Quito</v>
      </c>
      <c r="O222" t="str">
        <v>Octubre–diciembre 2025</v>
      </c>
      <c r="P222" s="97" t="str">
        <v>REFERENCIAL QUITO · utilidad 30% provisional</v>
      </c>
      <c r="Q222" t="str">
        <v>CARPINTERÍA</v>
      </c>
      <c r="R222" t="str">
        <v>cerradura llave llave cromada</v>
      </c>
    </row>
    <row r="223">
      <c r="A223" t="str">
        <v>CAM-0218</v>
      </c>
      <c r="B223" t="str">
        <v>VARIOS, TRANSPORTE Y MONTAJE</v>
      </c>
      <c r="C223" t="str">
        <v>9,0204</v>
      </c>
      <c r="D223" s="97" t="str">
        <v>CERRADURA PASILLO CROMADA</v>
      </c>
      <c r="E223" t="str">
        <v>u</v>
      </c>
      <c r="F223" s="95" t="n">
        <v>10.63</v>
      </c>
      <c r="G223" s="95" t="n">
        <v>4.38</v>
      </c>
      <c r="H223" s="95" t="n">
        <v>1.16</v>
      </c>
      <c r="I223" s="95" t="n">
        <v>16.17</v>
      </c>
      <c r="J223" s="96" t="n">
        <v>0.22</v>
      </c>
      <c r="K223" s="95" t="n">
        <f>I223*(1+J223)</f>
        <v>19.727400000000003</v>
      </c>
      <c r="L223" s="96" t="n">
        <v>0.3</v>
      </c>
      <c r="M223" s="95" t="n">
        <f>K223*(1+L223)</f>
        <v>25.645620000000005</v>
      </c>
      <c r="N223" t="str">
        <v>CAMICON · Quito</v>
      </c>
      <c r="O223" t="str">
        <v>Octubre–diciembre 2025</v>
      </c>
      <c r="P223" s="97" t="str">
        <v>REFERENCIAL QUITO · utilidad 30% provisional</v>
      </c>
      <c r="Q223" t="str">
        <v>CARPINTERÍA</v>
      </c>
      <c r="R223" t="str">
        <v>cerradura pasillo cromada</v>
      </c>
    </row>
    <row r="224">
      <c r="A224" t="str">
        <v>CAM-0219</v>
      </c>
      <c r="B224" t="str">
        <v>VARIOS, TRANSPORTE Y MONTAJE</v>
      </c>
      <c r="C224" t="str">
        <v>9,0205</v>
      </c>
      <c r="D224" s="97" t="str">
        <v>CLOSET GAMA ALTA</v>
      </c>
      <c r="E224" t="str">
        <v>m²</v>
      </c>
      <c r="F224" s="95" t="n">
        <v>1249.17</v>
      </c>
      <c r="G224" s="95" t="n">
        <v>32.08</v>
      </c>
      <c r="H224" s="95" t="n">
        <v>12.77</v>
      </c>
      <c r="I224" s="95" t="n">
        <v>1294.02</v>
      </c>
      <c r="J224" s="96" t="n">
        <v>0.22</v>
      </c>
      <c r="K224" s="95" t="n">
        <f>I224*(1+J224)</f>
        <v>1578.7043999999999</v>
      </c>
      <c r="L224" s="96" t="n">
        <v>0.3</v>
      </c>
      <c r="M224" s="95" t="n">
        <f>K224*(1+L224)</f>
        <v>2052.31572</v>
      </c>
      <c r="N224" t="str">
        <v>CAMICON · Quito</v>
      </c>
      <c r="O224" t="str">
        <v>Octubre–diciembre 2025</v>
      </c>
      <c r="P224" s="97" t="str">
        <v>REFERENCIAL QUITO · utilidad 30% provisional</v>
      </c>
      <c r="Q224" t="str">
        <v>CARPINTERÍA</v>
      </c>
      <c r="R224" t="str">
        <v>closet gama alta</v>
      </c>
    </row>
    <row r="225">
      <c r="A225" t="str">
        <v>CAM-0220</v>
      </c>
      <c r="B225" t="str">
        <v>VARIOS, TRANSPORTE Y MONTAJE</v>
      </c>
      <c r="C225" t="str">
        <v>9,0206</v>
      </c>
      <c r="D225" s="97" t="str">
        <v>CLOSET GAMA BAJA</v>
      </c>
      <c r="E225" t="str">
        <v>m²</v>
      </c>
      <c r="F225" s="95" t="n">
        <v>346.49</v>
      </c>
      <c r="G225" s="95" t="n">
        <v>15.81</v>
      </c>
      <c r="H225" s="95" t="n">
        <v>6.3</v>
      </c>
      <c r="I225" s="95" t="n">
        <v>368.6</v>
      </c>
      <c r="J225" s="96" t="n">
        <v>0.22</v>
      </c>
      <c r="K225" s="95" t="n">
        <f>I225*(1+J225)</f>
        <v>449.692</v>
      </c>
      <c r="L225" s="96" t="n">
        <v>0.3</v>
      </c>
      <c r="M225" s="95" t="n">
        <f>K225*(1+L225)</f>
        <v>584.5996</v>
      </c>
      <c r="N225" t="str">
        <v>CAMICON · Quito</v>
      </c>
      <c r="O225" t="str">
        <v>Octubre–diciembre 2025</v>
      </c>
      <c r="P225" s="97" t="str">
        <v>REFERENCIAL QUITO · utilidad 30% provisional</v>
      </c>
      <c r="Q225" t="str">
        <v>CARPINTERÍA</v>
      </c>
      <c r="R225" t="str">
        <v>closet gama baja</v>
      </c>
    </row>
    <row r="226">
      <c r="A226" t="str">
        <v>CAM-0221</v>
      </c>
      <c r="B226" t="str">
        <v>VARIOS, TRANSPORTE Y MONTAJE</v>
      </c>
      <c r="C226" t="str">
        <v>9,0207</v>
      </c>
      <c r="D226" s="97" t="str">
        <v>CLOSET MDF LAMINADO</v>
      </c>
      <c r="E226" t="str">
        <v>m²</v>
      </c>
      <c r="F226" s="95" t="n">
        <v>294.04</v>
      </c>
      <c r="G226" s="95" t="n">
        <v>26.96</v>
      </c>
      <c r="H226" s="95" t="n">
        <v>1.35</v>
      </c>
      <c r="I226" s="95" t="n">
        <v>322.35</v>
      </c>
      <c r="J226" s="96" t="n">
        <v>0.22</v>
      </c>
      <c r="K226" s="95" t="n">
        <f>I226*(1+J226)</f>
        <v>393.267</v>
      </c>
      <c r="L226" s="96" t="n">
        <v>0.3</v>
      </c>
      <c r="M226" s="95" t="n">
        <f>K226*(1+L226)</f>
        <v>511.2471</v>
      </c>
      <c r="N226" t="str">
        <v>CAMICON · Quito</v>
      </c>
      <c r="O226" t="str">
        <v>Octubre–diciembre 2025</v>
      </c>
      <c r="P226" s="97" t="str">
        <v>REFERENCIAL QUITO · utilidad 30% provisional</v>
      </c>
      <c r="Q226" t="str">
        <v>CARPINTERÍA</v>
      </c>
      <c r="R226" t="str">
        <v>closet mdf laminado</v>
      </c>
    </row>
    <row r="227">
      <c r="A227" t="str">
        <v>CAM-0222</v>
      </c>
      <c r="B227" t="str">
        <v>VARIOS, TRANSPORTE Y MONTAJE</v>
      </c>
      <c r="C227" t="str">
        <v>9,0208</v>
      </c>
      <c r="D227" s="97" t="str">
        <v>MARCO Y TAPAMARCO DE MADERA 70 CM, INC. LACADO</v>
      </c>
      <c r="E227" t="str">
        <v>mtl</v>
      </c>
      <c r="F227" s="95" t="n">
        <v>41.9</v>
      </c>
      <c r="G227" s="95" t="n">
        <v>1.53</v>
      </c>
      <c r="H227" s="95" t="n">
        <v>1.25</v>
      </c>
      <c r="I227" s="95" t="n">
        <v>44.68</v>
      </c>
      <c r="J227" s="96" t="n">
        <v>0.22</v>
      </c>
      <c r="K227" s="95" t="n">
        <f>I227*(1+J227)</f>
        <v>54.5096</v>
      </c>
      <c r="L227" s="96" t="n">
        <v>0.3</v>
      </c>
      <c r="M227" s="95" t="n">
        <f>K227*(1+L227)</f>
        <v>70.86248</v>
      </c>
      <c r="N227" t="str">
        <v>CAMICON · Quito</v>
      </c>
      <c r="O227" t="str">
        <v>Octubre–diciembre 2025</v>
      </c>
      <c r="P227" s="97" t="str">
        <v>REFERENCIAL QUITO · utilidad 30% provisional</v>
      </c>
      <c r="Q227" t="str">
        <v>CARPINTERÍA</v>
      </c>
      <c r="R227" t="str">
        <v>marco y tapamarco de madera 70 cm, inc. lacado</v>
      </c>
    </row>
    <row r="228">
      <c r="A228" t="str">
        <v>CAM-0223</v>
      </c>
      <c r="B228" t="str">
        <v>VARIOS, TRANSPORTE Y MONTAJE</v>
      </c>
      <c r="C228" t="str">
        <v>9,0209</v>
      </c>
      <c r="D228" s="97" t="str">
        <v>MESÓN CON TABLERO POSFORMADO (FORMICA) A= 60 CM</v>
      </c>
      <c r="E228" t="str">
        <v>mtl</v>
      </c>
      <c r="F228" s="95" t="n">
        <v>6.87</v>
      </c>
      <c r="G228" s="95" t="n">
        <v>2.05</v>
      </c>
      <c r="H228" s="95" t="n">
        <v>0.85</v>
      </c>
      <c r="I228" s="95" t="n">
        <v>9.77</v>
      </c>
      <c r="J228" s="96" t="n">
        <v>0.22</v>
      </c>
      <c r="K228" s="95" t="n">
        <f>I228*(1+J228)</f>
        <v>11.9194</v>
      </c>
      <c r="L228" s="96" t="n">
        <v>0.3</v>
      </c>
      <c r="M228" s="95" t="n">
        <f>K228*(1+L228)</f>
        <v>15.49522</v>
      </c>
      <c r="N228" t="str">
        <v>CAMICON · Quito</v>
      </c>
      <c r="O228" t="str">
        <v>Octubre–diciembre 2025</v>
      </c>
      <c r="P228" s="97" t="str">
        <v>REFERENCIAL QUITO · utilidad 30% provisional</v>
      </c>
      <c r="Q228" t="str">
        <v>CARPINTERÍA</v>
      </c>
      <c r="R228" t="str">
        <v>meson con tablero posformado (formica) a= 60 cm</v>
      </c>
    </row>
    <row r="229">
      <c r="A229" t="str">
        <v>CAM-0224</v>
      </c>
      <c r="B229" t="str">
        <v>MOBILIARIO Y MÓDULOS</v>
      </c>
      <c r="C229" t="str">
        <v>9,0210</v>
      </c>
      <c r="D229" s="97" t="str">
        <v>MUEBLE ALTO DE COCINA EN AGLOMERADO MELAMINICO E=15MM</v>
      </c>
      <c r="E229" t="str">
        <v>mtl</v>
      </c>
      <c r="F229" s="95" t="n">
        <v>29.58</v>
      </c>
      <c r="G229" s="95" t="n">
        <v>26.96</v>
      </c>
      <c r="H229" s="95" t="n">
        <v>6.05</v>
      </c>
      <c r="I229" s="95" t="n">
        <v>62.59</v>
      </c>
      <c r="J229" s="96" t="n">
        <v>0.22</v>
      </c>
      <c r="K229" s="95" t="n">
        <f>I229*(1+J229)</f>
        <v>76.3598</v>
      </c>
      <c r="L229" s="96" t="n">
        <v>0.3</v>
      </c>
      <c r="M229" s="95" t="n">
        <f>K229*(1+L229)</f>
        <v>99.26774000000002</v>
      </c>
      <c r="N229" t="str">
        <v>CAMICON · Quito</v>
      </c>
      <c r="O229" t="str">
        <v>Octubre–diciembre 2025</v>
      </c>
      <c r="P229" s="97" t="str">
        <v>REFERENCIAL QUITO · utilidad 30% provisional</v>
      </c>
      <c r="Q229" t="str">
        <v>CARPINTERÍA</v>
      </c>
      <c r="R229" t="str">
        <v>mueble alto de cocina en aglomerado melaminico e=15mm</v>
      </c>
    </row>
    <row r="230">
      <c r="A230" t="str">
        <v>CAM-0225</v>
      </c>
      <c r="B230" t="str">
        <v>MOBILIARIO Y MÓDULOS</v>
      </c>
      <c r="C230" t="str">
        <v>9,0211</v>
      </c>
      <c r="D230" s="97" t="str">
        <v>MUEBLE BAJO COCINA AGLOMERADO MELAMINICO E=15MM (NO INC. MESÓN)</v>
      </c>
      <c r="E230" t="str">
        <v>mtl</v>
      </c>
      <c r="F230" s="95" t="n">
        <v>70.44</v>
      </c>
      <c r="G230" s="95" t="n">
        <v>25.15</v>
      </c>
      <c r="H230" s="95" t="n">
        <v>1.26</v>
      </c>
      <c r="I230" s="95" t="n">
        <v>96.85</v>
      </c>
      <c r="J230" s="96" t="n">
        <v>0.22</v>
      </c>
      <c r="K230" s="95" t="n">
        <f>I230*(1+J230)</f>
        <v>118.157</v>
      </c>
      <c r="L230" s="96" t="n">
        <v>0.3</v>
      </c>
      <c r="M230" s="95" t="n">
        <f>K230*(1+L230)</f>
        <v>153.6041</v>
      </c>
      <c r="N230" t="str">
        <v>CAMICON · Quito</v>
      </c>
      <c r="O230" t="str">
        <v>Octubre–diciembre 2025</v>
      </c>
      <c r="P230" s="97" t="str">
        <v>REFERENCIAL QUITO · utilidad 30% provisional</v>
      </c>
      <c r="Q230" t="str">
        <v>CARPINTERÍA</v>
      </c>
      <c r="R230" t="str">
        <v>mueble bajo cocina aglomerado melaminico e=15mm (no inc. meson)</v>
      </c>
    </row>
    <row r="231">
      <c r="A231" t="str">
        <v>CAM-0226</v>
      </c>
      <c r="B231" t="str">
        <v>MOBILIARIO Y MÓDULOS</v>
      </c>
      <c r="C231" t="str">
        <v>9,0212</v>
      </c>
      <c r="D231" s="97" t="str">
        <v>MUEBLE BAJO DE COCINA CON MESÓN TRIPLEX + FORMICA E=15MM</v>
      </c>
      <c r="E231" t="str">
        <v>mtl</v>
      </c>
      <c r="F231" s="95" t="n">
        <v>236.1</v>
      </c>
      <c r="G231" s="95" t="n">
        <v>25.15</v>
      </c>
      <c r="H231" s="95" t="n">
        <v>5.64</v>
      </c>
      <c r="I231" s="95" t="n">
        <v>266.89</v>
      </c>
      <c r="J231" s="96" t="n">
        <v>0.22</v>
      </c>
      <c r="K231" s="95" t="n">
        <f>I231*(1+J231)</f>
        <v>325.6058</v>
      </c>
      <c r="L231" s="96" t="n">
        <v>0.3</v>
      </c>
      <c r="M231" s="95" t="n">
        <f>K231*(1+L231)</f>
        <v>423.28754</v>
      </c>
      <c r="N231" t="str">
        <v>CAMICON · Quito</v>
      </c>
      <c r="O231" t="str">
        <v>Octubre–diciembre 2025</v>
      </c>
      <c r="P231" s="97" t="str">
        <v>REFERENCIAL QUITO · utilidad 30% provisional</v>
      </c>
      <c r="Q231" t="str">
        <v>CARPINTERÍA</v>
      </c>
      <c r="R231" t="str">
        <v>mueble bajo de cocina con meson triplex + formica e=15mm</v>
      </c>
    </row>
    <row r="232">
      <c r="A232" t="str">
        <v>CAM-0227</v>
      </c>
      <c r="B232" t="str">
        <v>MOBILIARIO Y MÓDULOS</v>
      </c>
      <c r="C232" t="str">
        <v>9,0213</v>
      </c>
      <c r="D232" s="97" t="str">
        <v>MUEBLE BAJO DE COCINA CON MESÓN DE GRANITO BLANCO Y HERRAJES PARA CAJÓNES</v>
      </c>
      <c r="E232" t="str">
        <v>mtl</v>
      </c>
      <c r="F232" s="95" t="n">
        <v>142.79</v>
      </c>
      <c r="G232" s="95" t="n">
        <v>35.94</v>
      </c>
      <c r="H232" s="95" t="n">
        <v>8.06</v>
      </c>
      <c r="I232" s="95" t="n">
        <v>186.79</v>
      </c>
      <c r="J232" s="96" t="n">
        <v>0.22</v>
      </c>
      <c r="K232" s="95" t="n">
        <f>I232*(1+J232)</f>
        <v>227.88379999999998</v>
      </c>
      <c r="L232" s="96" t="n">
        <v>0.3</v>
      </c>
      <c r="M232" s="95" t="n">
        <f>K232*(1+L232)</f>
        <v>296.24894</v>
      </c>
      <c r="N232" t="str">
        <v>CAMICON · Quito</v>
      </c>
      <c r="O232" t="str">
        <v>Octubre–diciembre 2025</v>
      </c>
      <c r="P232" s="97" t="str">
        <v>REFERENCIAL QUITO · utilidad 30% provisional</v>
      </c>
      <c r="Q232" t="str">
        <v>CARPINTERÍA</v>
      </c>
      <c r="R232" t="str">
        <v>mueble bajo de cocina con meson de granito blanco y herrajes para cajones</v>
      </c>
    </row>
    <row r="233">
      <c r="A233" t="str">
        <v>CAM-0228</v>
      </c>
      <c r="B233" t="str">
        <v>MOBILIARIO Y MÓDULOS</v>
      </c>
      <c r="C233" t="str">
        <v>9,0214</v>
      </c>
      <c r="D233" s="97" t="str">
        <v>MUEBLE BAJO DE COCINA GAMA ALTA</v>
      </c>
      <c r="E233" t="str">
        <v>mtl</v>
      </c>
      <c r="F233" s="95" t="n">
        <v>781.01</v>
      </c>
      <c r="G233" s="95" t="n">
        <v>88.77</v>
      </c>
      <c r="H233" s="95" t="n">
        <v>35.36</v>
      </c>
      <c r="I233" s="95" t="n">
        <v>905.14</v>
      </c>
      <c r="J233" s="96" t="n">
        <v>0.22</v>
      </c>
      <c r="K233" s="95" t="n">
        <f>I233*(1+J233)</f>
        <v>1104.2708</v>
      </c>
      <c r="L233" s="96" t="n">
        <v>0.3</v>
      </c>
      <c r="M233" s="95" t="n">
        <f>K233*(1+L233)</f>
        <v>1435.55204</v>
      </c>
      <c r="N233" t="str">
        <v>CAMICON · Quito</v>
      </c>
      <c r="O233" t="str">
        <v>Octubre–diciembre 2025</v>
      </c>
      <c r="P233" s="97" t="str">
        <v>REFERENCIAL QUITO · utilidad 30% provisional</v>
      </c>
      <c r="Q233" t="str">
        <v>CARPINTERÍA</v>
      </c>
      <c r="R233" t="str">
        <v>mueble bajo de cocina gama alta</v>
      </c>
    </row>
    <row r="234">
      <c r="A234" t="str">
        <v>CAM-0229</v>
      </c>
      <c r="B234" t="str">
        <v>MOBILIARIO Y MÓDULOS</v>
      </c>
      <c r="C234" t="str">
        <v>9,0215</v>
      </c>
      <c r="D234" s="97" t="str">
        <v>MUEBLES ALTOS DE COCINA MDF</v>
      </c>
      <c r="E234" t="str">
        <v>mtl</v>
      </c>
      <c r="F234" s="95" t="n">
        <v>44.12</v>
      </c>
      <c r="G234" s="95" t="n">
        <v>22.47</v>
      </c>
      <c r="H234" s="95" t="n">
        <v>5.82</v>
      </c>
      <c r="I234" s="95" t="n">
        <v>72.41</v>
      </c>
      <c r="J234" s="96" t="n">
        <v>0.22</v>
      </c>
      <c r="K234" s="95" t="n">
        <f>I234*(1+J234)</f>
        <v>88.3402</v>
      </c>
      <c r="L234" s="96" t="n">
        <v>0.3</v>
      </c>
      <c r="M234" s="95" t="n">
        <f>K234*(1+L234)</f>
        <v>114.84226</v>
      </c>
      <c r="N234" t="str">
        <v>CAMICON · Quito</v>
      </c>
      <c r="O234" t="str">
        <v>Octubre–diciembre 2025</v>
      </c>
      <c r="P234" s="97" t="str">
        <v>REFERENCIAL QUITO · utilidad 30% provisional</v>
      </c>
      <c r="Q234" t="str">
        <v>CARPINTERÍA</v>
      </c>
      <c r="R234" t="str">
        <v>muebles altos de cocina mdf</v>
      </c>
    </row>
    <row r="235">
      <c r="A235" t="str">
        <v>CAM-0230</v>
      </c>
      <c r="B235" t="str">
        <v>VIDRIO Y ALUMINIO</v>
      </c>
      <c r="C235" t="str">
        <v>9,0216</v>
      </c>
      <c r="D235" s="97" t="str">
        <v>PÉRGOLA DE MADERA Y VIDRIO LAMINADO 8 MM</v>
      </c>
      <c r="E235" t="str">
        <v>m²</v>
      </c>
      <c r="F235" s="95" t="n">
        <v>83.02</v>
      </c>
      <c r="G235" s="95" t="n">
        <v>26.11</v>
      </c>
      <c r="H235" s="95" t="n">
        <v>4.29</v>
      </c>
      <c r="I235" s="95" t="n">
        <v>113.42</v>
      </c>
      <c r="J235" s="96" t="n">
        <v>0.22</v>
      </c>
      <c r="K235" s="95" t="n">
        <f>I235*(1+J235)</f>
        <v>138.3724</v>
      </c>
      <c r="L235" s="96" t="n">
        <v>0.3</v>
      </c>
      <c r="M235" s="95" t="n">
        <f>K235*(1+L235)</f>
        <v>179.88412</v>
      </c>
      <c r="N235" t="str">
        <v>CAMICON · Quito</v>
      </c>
      <c r="O235" t="str">
        <v>Octubre–diciembre 2025</v>
      </c>
      <c r="P235" s="97" t="str">
        <v>REFERENCIAL QUITO · utilidad 30% provisional</v>
      </c>
      <c r="Q235" t="str">
        <v>CARPINTERÍA</v>
      </c>
      <c r="R235" t="str">
        <v>pergola de madera y vidrio laminado 8 mm</v>
      </c>
    </row>
    <row r="236">
      <c r="A236" t="str">
        <v>CAM-0231</v>
      </c>
      <c r="B236" t="str">
        <v>VARIOS, TRANSPORTE Y MONTAJE</v>
      </c>
      <c r="C236" t="str">
        <v>9,0217</v>
      </c>
      <c r="D236" s="97" t="str">
        <v>PUERTA TAMBORADA BLANCA 0.70 M, INC. MARCO Y TAPA MARCO</v>
      </c>
      <c r="E236" t="str">
        <v>u</v>
      </c>
      <c r="F236" s="95" t="n">
        <v>186.02</v>
      </c>
      <c r="G236" s="95" t="n">
        <v>22.47</v>
      </c>
      <c r="H236" s="95" t="n">
        <v>1.12</v>
      </c>
      <c r="I236" s="95" t="n">
        <v>209.61</v>
      </c>
      <c r="J236" s="96" t="n">
        <v>0.22</v>
      </c>
      <c r="K236" s="95" t="n">
        <f>I236*(1+J236)</f>
        <v>255.72420000000002</v>
      </c>
      <c r="L236" s="96" t="n">
        <v>0.3</v>
      </c>
      <c r="M236" s="95" t="n">
        <f>K236*(1+L236)</f>
        <v>332.44146000000006</v>
      </c>
      <c r="N236" t="str">
        <v>CAMICON · Quito</v>
      </c>
      <c r="O236" t="str">
        <v>Octubre–diciembre 2025</v>
      </c>
      <c r="P236" s="97" t="str">
        <v>REFERENCIAL QUITO · utilidad 30% provisional</v>
      </c>
      <c r="Q236" t="str">
        <v>CARPINTERÍA</v>
      </c>
      <c r="R236" t="str">
        <v>puerta tamborada blanca 0.70 m, inc. marco y tapa marco</v>
      </c>
    </row>
    <row r="237">
      <c r="A237" t="str">
        <v>CAM-0232</v>
      </c>
      <c r="B237" t="str">
        <v>VARIOS, TRANSPORTE Y MONTAJE</v>
      </c>
      <c r="C237" t="str">
        <v>9,0218</v>
      </c>
      <c r="D237" s="97" t="str">
        <v>PUERTA TAMBORADA BLANCA 0.80 M, INC. MARCO Y TAPA MARCO</v>
      </c>
      <c r="E237" t="str">
        <v>u</v>
      </c>
      <c r="F237" s="95" t="n">
        <v>186.02</v>
      </c>
      <c r="G237" s="95" t="n">
        <v>22.91</v>
      </c>
      <c r="H237" s="95" t="n">
        <v>1.15</v>
      </c>
      <c r="I237" s="95" t="n">
        <v>210.08</v>
      </c>
      <c r="J237" s="96" t="n">
        <v>0.22</v>
      </c>
      <c r="K237" s="95" t="n">
        <f>I237*(1+J237)</f>
        <v>256.2976</v>
      </c>
      <c r="L237" s="96" t="n">
        <v>0.3</v>
      </c>
      <c r="M237" s="95" t="n">
        <f>K237*(1+L237)</f>
        <v>333.18688</v>
      </c>
      <c r="N237" t="str">
        <v>CAMICON · Quito</v>
      </c>
      <c r="O237" t="str">
        <v>Octubre–diciembre 2025</v>
      </c>
      <c r="P237" s="97" t="str">
        <v>REFERENCIAL QUITO · utilidad 30% provisional</v>
      </c>
      <c r="Q237" t="str">
        <v>CARPINTERÍA</v>
      </c>
      <c r="R237" t="str">
        <v>puerta tamborada blanca 0.80 m, inc. marco y tapa marco</v>
      </c>
    </row>
    <row r="238">
      <c r="A238" t="str">
        <v>CAM-0233</v>
      </c>
      <c r="B238" t="str">
        <v>VARIOS, TRANSPORTE Y MONTAJE</v>
      </c>
      <c r="C238" t="str">
        <v>9,0219</v>
      </c>
      <c r="D238" s="97" t="str">
        <v>PUERTA TAMBORADA BLANCA 0.90 M, INC. MARCO Y TAPA MARCO</v>
      </c>
      <c r="E238" t="str">
        <v>u</v>
      </c>
      <c r="F238" s="95" t="n">
        <v>186.02</v>
      </c>
      <c r="G238" s="95" t="n">
        <v>34.5</v>
      </c>
      <c r="H238" s="95" t="n">
        <v>1.73</v>
      </c>
      <c r="I238" s="95" t="n">
        <v>222.25</v>
      </c>
      <c r="J238" s="96" t="n">
        <v>0.22</v>
      </c>
      <c r="K238" s="95" t="n">
        <f>I238*(1+J238)</f>
        <v>271.145</v>
      </c>
      <c r="L238" s="96" t="n">
        <v>0.3</v>
      </c>
      <c r="M238" s="95" t="n">
        <f>K238*(1+L238)</f>
        <v>352.4885</v>
      </c>
      <c r="N238" t="str">
        <v>CAMICON · Quito</v>
      </c>
      <c r="O238" t="str">
        <v>Octubre–diciembre 2025</v>
      </c>
      <c r="P238" s="97" t="str">
        <v>REFERENCIAL QUITO · utilidad 30% provisional</v>
      </c>
      <c r="Q238" t="str">
        <v>CARPINTERÍA</v>
      </c>
      <c r="R238" t="str">
        <v>puerta tamborada blanca 0.90 m, inc. marco y tapa marco</v>
      </c>
    </row>
    <row r="239">
      <c r="A239" t="str">
        <v>CAM-0234</v>
      </c>
      <c r="B239" t="str">
        <v>VARIOS, TRANSPORTE Y MONTAJE</v>
      </c>
      <c r="C239" t="str">
        <v>9,0220</v>
      </c>
      <c r="D239" s="97" t="str">
        <v>PUERTA TAMBORADA MDF 0.80 X 2.10 M, NO INCLUYE MARCO Y TAPAMARCO</v>
      </c>
      <c r="E239" t="str">
        <v>u</v>
      </c>
      <c r="F239" s="95" t="n">
        <v>48.9</v>
      </c>
      <c r="G239" s="95" t="n">
        <v>39.8</v>
      </c>
      <c r="H239" s="95" t="n">
        <v>11.38</v>
      </c>
      <c r="I239" s="95" t="n">
        <v>100.08</v>
      </c>
      <c r="J239" s="96" t="n">
        <v>0.22</v>
      </c>
      <c r="K239" s="95" t="n">
        <f>I239*(1+J239)</f>
        <v>122.0976</v>
      </c>
      <c r="L239" s="96" t="n">
        <v>0.3</v>
      </c>
      <c r="M239" s="95" t="n">
        <f>K239*(1+L239)</f>
        <v>158.72688</v>
      </c>
      <c r="N239" t="str">
        <v>CAMICON · Quito</v>
      </c>
      <c r="O239" t="str">
        <v>Octubre–diciembre 2025</v>
      </c>
      <c r="P239" s="97" t="str">
        <v>REFERENCIAL QUITO · utilidad 30% provisional</v>
      </c>
      <c r="Q239" t="str">
        <v>CARPINTERÍA</v>
      </c>
      <c r="R239" t="str">
        <v>puerta tamborada mdf 0.80 x 2.10 m, no incluye marco y tapamarco</v>
      </c>
    </row>
    <row r="240">
      <c r="A240" t="str">
        <v>CAM-0235</v>
      </c>
      <c r="B240" t="str">
        <v>VARIOS, TRANSPORTE Y MONTAJE</v>
      </c>
      <c r="C240" t="str">
        <v>9,0221</v>
      </c>
      <c r="D240" s="97" t="str">
        <v>PUERTAS PRINCIPALES LACADAS BISAGRA PIVOTANTE, INC. MARCO Y TAPA MARCO</v>
      </c>
      <c r="E240" t="str">
        <v>u</v>
      </c>
      <c r="F240" s="95" t="n">
        <v>387.97</v>
      </c>
      <c r="G240" s="95" t="n">
        <v>69.98</v>
      </c>
      <c r="H240" s="95" t="n">
        <v>27.54</v>
      </c>
      <c r="I240" s="95" t="n">
        <v>485.49</v>
      </c>
      <c r="J240" s="96" t="n">
        <v>0.22</v>
      </c>
      <c r="K240" s="95" t="n">
        <f>I240*(1+J240)</f>
        <v>592.2978</v>
      </c>
      <c r="L240" s="96" t="n">
        <v>0.3</v>
      </c>
      <c r="M240" s="95" t="n">
        <f>K240*(1+L240)</f>
        <v>769.9871400000001</v>
      </c>
      <c r="N240" t="str">
        <v>CAMICON · Quito</v>
      </c>
      <c r="O240" t="str">
        <v>Octubre–diciembre 2025</v>
      </c>
      <c r="P240" s="97" t="str">
        <v>REFERENCIAL QUITO · utilidad 30% provisional</v>
      </c>
      <c r="Q240" t="str">
        <v>CARPINTERÍA</v>
      </c>
      <c r="R240" t="str">
        <v>puertas principales lacadas bisagra pivotante, inc. marco y tapa marco</v>
      </c>
    </row>
    <row r="241">
      <c r="A241" t="str">
        <v>CAM-0236</v>
      </c>
      <c r="B241" t="str">
        <v>VARIOS, TRANSPORTE Y MONTAJE</v>
      </c>
      <c r="C241" t="str">
        <v>9,0222</v>
      </c>
      <c r="D241" s="97" t="str">
        <v>PUERTAS PRINCIPALES LACADAS, INC. MARCO Y TAPA MARCO</v>
      </c>
      <c r="E241" t="str">
        <v>u</v>
      </c>
      <c r="F241" s="95" t="n">
        <v>357.44</v>
      </c>
      <c r="G241" s="95" t="n">
        <v>69.98</v>
      </c>
      <c r="H241" s="95" t="n">
        <v>27.54</v>
      </c>
      <c r="I241" s="95" t="n">
        <v>454.96</v>
      </c>
      <c r="J241" s="96" t="n">
        <v>0.22</v>
      </c>
      <c r="K241" s="95" t="n">
        <f>I241*(1+J241)</f>
        <v>555.0512</v>
      </c>
      <c r="L241" s="96" t="n">
        <v>0.3</v>
      </c>
      <c r="M241" s="95" t="n">
        <f>K241*(1+L241)</f>
        <v>721.56656</v>
      </c>
      <c r="N241" t="str">
        <v>CAMICON · Quito</v>
      </c>
      <c r="O241" t="str">
        <v>Octubre–diciembre 2025</v>
      </c>
      <c r="P241" s="97" t="str">
        <v>REFERENCIAL QUITO · utilidad 30% provisional</v>
      </c>
      <c r="Q241" t="str">
        <v>CARPINTERÍA</v>
      </c>
      <c r="R241" t="str">
        <v>puertas principales lacadas, inc. marco y tapa marco</v>
      </c>
    </row>
    <row r="242">
      <c r="A242" t="str">
        <v>CAM-0237</v>
      </c>
      <c r="B242" t="str">
        <v>OBRA CIVIL</v>
      </c>
      <c r="C242" t="str">
        <v>9,0223</v>
      </c>
      <c r="D242" s="97" t="str">
        <v>VIGA ESTRUCTURAL DE MADERA TECA INSTALADA</v>
      </c>
      <c r="E242" t="str">
        <v>mtl</v>
      </c>
      <c r="F242" s="95" t="n">
        <v>12.77</v>
      </c>
      <c r="G242" s="95" t="n">
        <v>2.87</v>
      </c>
      <c r="H242" s="95" t="n">
        <v>0.14</v>
      </c>
      <c r="I242" s="95" t="n">
        <v>15.78</v>
      </c>
      <c r="J242" s="96" t="n">
        <v>0.22</v>
      </c>
      <c r="K242" s="95" t="n">
        <f>I242*(1+J242)</f>
        <v>19.2516</v>
      </c>
      <c r="L242" s="96" t="n">
        <v>0.3</v>
      </c>
      <c r="M242" s="95" t="n">
        <f>K242*(1+L242)</f>
        <v>25.02708</v>
      </c>
      <c r="N242" t="str">
        <v>CAMICON · Quito</v>
      </c>
      <c r="O242" t="str">
        <v>Octubre–diciembre 2025</v>
      </c>
      <c r="P242" s="97" t="str">
        <v>REFERENCIAL QUITO · utilidad 30% provisional</v>
      </c>
      <c r="Q242" t="str">
        <v>CARPINTERÍA</v>
      </c>
      <c r="R242" t="str">
        <v>viga estructural de madera teca instalada</v>
      </c>
    </row>
    <row r="243">
      <c r="A243" t="str">
        <v>CAM-0238</v>
      </c>
      <c r="B243" t="str">
        <v>OBRA CIVIL</v>
      </c>
      <c r="C243" t="str">
        <v>10,0101</v>
      </c>
      <c r="D243" s="97" t="str">
        <v>ACERO ESTRUCTURAL A-36 GALVANIZADO - PAREDES PERIMETRALES E = 0.93 - 2.73 MM</v>
      </c>
      <c r="E243" t="str">
        <v>kg</v>
      </c>
      <c r="F243" s="95" t="n">
        <v>2.73</v>
      </c>
      <c r="G243" s="95" t="n">
        <v>0.8</v>
      </c>
      <c r="H243" s="95" t="n">
        <v>0.29</v>
      </c>
      <c r="I243" s="95" t="n">
        <v>3.82</v>
      </c>
      <c r="J243" s="96" t="n">
        <v>0.22</v>
      </c>
      <c r="K243" s="95" t="n">
        <f>I243*(1+J243)</f>
        <v>4.6604</v>
      </c>
      <c r="L243" s="96" t="n">
        <v>0.3</v>
      </c>
      <c r="M243" s="95" t="n">
        <f>K243*(1+L243)</f>
        <v>6.058520000000001</v>
      </c>
      <c r="N243" t="str">
        <v>CAMICON · Quito</v>
      </c>
      <c r="O243" t="str">
        <v>Octubre–diciembre 2025</v>
      </c>
      <c r="P243" s="97" t="str">
        <v>REFERENCIAL QUITO · utilidad 30% provisional</v>
      </c>
      <c r="Q243" t="str">
        <v>SISTEMAS DE CONSTRUCCIÓN EN SECO</v>
      </c>
      <c r="R243" t="str">
        <v>acero estructural a-36 galvanizado - paredes perimetrales e = 0.93 - 2.73 mm</v>
      </c>
    </row>
    <row r="244">
      <c r="A244" t="str">
        <v>CAM-0239</v>
      </c>
      <c r="B244" t="str">
        <v>OBRA CIVIL</v>
      </c>
      <c r="C244" t="str">
        <v>10,0102</v>
      </c>
      <c r="D244" s="97" t="str">
        <v>ACERO ESTRUCTURAL A-36 GALVANIZADO - PAREDES INTERIORES E = 0.40 - 0.70 MM</v>
      </c>
      <c r="E244" t="str">
        <v>kg</v>
      </c>
      <c r="F244" s="95" t="n">
        <v>2.05</v>
      </c>
      <c r="G244" s="95" t="n">
        <v>0.65</v>
      </c>
      <c r="H244" s="95" t="n">
        <v>0.23</v>
      </c>
      <c r="I244" s="95" t="n">
        <v>2.93</v>
      </c>
      <c r="J244" s="96" t="n">
        <v>0.22</v>
      </c>
      <c r="K244" s="95" t="n">
        <f>I244*(1+J244)</f>
        <v>3.5746</v>
      </c>
      <c r="L244" s="96" t="n">
        <v>0.3</v>
      </c>
      <c r="M244" s="95" t="n">
        <f>K244*(1+L244)</f>
        <v>4.64698</v>
      </c>
      <c r="N244" t="str">
        <v>CAMICON · Quito</v>
      </c>
      <c r="O244" t="str">
        <v>Octubre–diciembre 2025</v>
      </c>
      <c r="P244" s="97" t="str">
        <v>REFERENCIAL QUITO · utilidad 30% provisional</v>
      </c>
      <c r="Q244" t="str">
        <v>SISTEMAS DE CONSTRUCCIÓN EN SECO</v>
      </c>
      <c r="R244" t="str">
        <v>acero estructural a-36 galvanizado - paredes interiores e = 0.40 - 0.70 mm</v>
      </c>
    </row>
    <row r="245">
      <c r="A245" t="str">
        <v>CAM-0240</v>
      </c>
      <c r="B245" t="str">
        <v>VARIOS, TRANSPORTE Y MONTAJE</v>
      </c>
      <c r="C245" t="str">
        <v>10,0103</v>
      </c>
      <c r="D245" s="97" t="str">
        <v>RIGIDIZACIÓN VERTICAL DE PAREDES CON PANEL OSB E=11.1 MM</v>
      </c>
      <c r="E245" t="str">
        <v>m²</v>
      </c>
      <c r="F245" s="95" t="n">
        <v>12.33</v>
      </c>
      <c r="G245" s="95" t="n">
        <v>2.25</v>
      </c>
      <c r="H245" s="95" t="n">
        <v>0.89</v>
      </c>
      <c r="I245" s="95" t="n">
        <v>15.47</v>
      </c>
      <c r="J245" s="96" t="n">
        <v>0.22</v>
      </c>
      <c r="K245" s="95" t="n">
        <f>I245*(1+J245)</f>
        <v>18.8734</v>
      </c>
      <c r="L245" s="96" t="n">
        <v>0.3</v>
      </c>
      <c r="M245" s="95" t="n">
        <f>K245*(1+L245)</f>
        <v>24.535420000000002</v>
      </c>
      <c r="N245" t="str">
        <v>CAMICON · Quito</v>
      </c>
      <c r="O245" t="str">
        <v>Octubre–diciembre 2025</v>
      </c>
      <c r="P245" s="97" t="str">
        <v>REFERENCIAL QUITO · utilidad 30% provisional</v>
      </c>
      <c r="Q245" t="str">
        <v>SISTEMAS DE CONSTRUCCIÓN EN SECO</v>
      </c>
      <c r="R245" t="str">
        <v>rigidizacion vertical de paredes con panel osb e=11.1 mm</v>
      </c>
    </row>
    <row r="246">
      <c r="A246" t="str">
        <v>CAM-0241</v>
      </c>
      <c r="B246" t="str">
        <v>VARIOS, TRANSPORTE Y MONTAJE</v>
      </c>
      <c r="C246" t="str">
        <v>10,0104</v>
      </c>
      <c r="D246" s="97" t="str">
        <v>RIGIDIZACIÓN VERTICAL DE PAREDES CON PANEL OSB E=15.1 MM</v>
      </c>
      <c r="E246" t="str">
        <v>m²</v>
      </c>
      <c r="F246" s="95" t="n">
        <v>13.86</v>
      </c>
      <c r="G246" s="95" t="n">
        <v>2.33</v>
      </c>
      <c r="H246" s="95" t="n">
        <v>0.94</v>
      </c>
      <c r="I246" s="95" t="n">
        <v>17.13</v>
      </c>
      <c r="J246" s="96" t="n">
        <v>0.22</v>
      </c>
      <c r="K246" s="95" t="n">
        <f>I246*(1+J246)</f>
        <v>20.8986</v>
      </c>
      <c r="L246" s="96" t="n">
        <v>0.3</v>
      </c>
      <c r="M246" s="95" t="n">
        <f>K246*(1+L246)</f>
        <v>27.16818</v>
      </c>
      <c r="N246" t="str">
        <v>CAMICON · Quito</v>
      </c>
      <c r="O246" t="str">
        <v>Octubre–diciembre 2025</v>
      </c>
      <c r="P246" s="97" t="str">
        <v>REFERENCIAL QUITO · utilidad 30% provisional</v>
      </c>
      <c r="Q246" t="str">
        <v>SISTEMAS DE CONSTRUCCIÓN EN SECO</v>
      </c>
      <c r="R246" t="str">
        <v>rigidizacion vertical de paredes con panel osb e=15.1 mm</v>
      </c>
    </row>
    <row r="247">
      <c r="A247" t="str">
        <v>CAM-0242</v>
      </c>
      <c r="B247" t="str">
        <v>ACABADOS Y GYPSUM</v>
      </c>
      <c r="C247" t="str">
        <v>10,0105</v>
      </c>
      <c r="D247" s="97" t="str">
        <v>RIGIDIZACIÓN HORIZONTAL DE PISOS CON PANEL OSB E=18.3 MM</v>
      </c>
      <c r="E247" t="str">
        <v>m²</v>
      </c>
      <c r="F247" s="95" t="n">
        <v>15.45</v>
      </c>
      <c r="G247" s="95" t="n">
        <v>2.69</v>
      </c>
      <c r="H247" s="95" t="n">
        <v>1.07</v>
      </c>
      <c r="I247" s="95" t="n">
        <v>19.21</v>
      </c>
      <c r="J247" s="96" t="n">
        <v>0.22</v>
      </c>
      <c r="K247" s="95" t="n">
        <f>I247*(1+J247)</f>
        <v>23.4362</v>
      </c>
      <c r="L247" s="96" t="n">
        <v>0.3</v>
      </c>
      <c r="M247" s="95" t="n">
        <f>K247*(1+L247)</f>
        <v>30.46706</v>
      </c>
      <c r="N247" t="str">
        <v>CAMICON · Quito</v>
      </c>
      <c r="O247" t="str">
        <v>Octubre–diciembre 2025</v>
      </c>
      <c r="P247" s="97" t="str">
        <v>REFERENCIAL QUITO · utilidad 30% provisional</v>
      </c>
      <c r="Q247" t="str">
        <v>SISTEMAS DE CONSTRUCCIÓN EN SECO</v>
      </c>
      <c r="R247" t="str">
        <v>rigidizacion horizontal de pisos con panel osb e=18.3 mm</v>
      </c>
    </row>
    <row r="248">
      <c r="A248" t="str">
        <v>CAM-0243</v>
      </c>
      <c r="B248" t="str">
        <v>ACABADOS Y GYPSUM</v>
      </c>
      <c r="C248" t="str">
        <v>10,0106</v>
      </c>
      <c r="D248" s="97" t="str">
        <v>REVESTIMIENTO EIFS PARA CARAS EXTERIORES</v>
      </c>
      <c r="E248" t="str">
        <v>m²</v>
      </c>
      <c r="F248" s="95" t="n">
        <v>3.57</v>
      </c>
      <c r="G248" s="95" t="n">
        <v>0.5</v>
      </c>
      <c r="H248" s="95" t="n">
        <v>0.03</v>
      </c>
      <c r="I248" s="95" t="n">
        <v>4.1</v>
      </c>
      <c r="J248" s="96" t="n">
        <v>0.22</v>
      </c>
      <c r="K248" s="95" t="n">
        <f>I248*(1+J248)</f>
        <v>5.002</v>
      </c>
      <c r="L248" s="96" t="n">
        <v>0.3</v>
      </c>
      <c r="M248" s="95" t="n">
        <f>K248*(1+L248)</f>
        <v>6.5026</v>
      </c>
      <c r="N248" t="str">
        <v>CAMICON · Quito</v>
      </c>
      <c r="O248" t="str">
        <v>Octubre–diciembre 2025</v>
      </c>
      <c r="P248" s="97" t="str">
        <v>REFERENCIAL QUITO · utilidad 30% provisional</v>
      </c>
      <c r="Q248" t="str">
        <v>SISTEMAS DE CONSTRUCCIÓN EN SECO</v>
      </c>
      <c r="R248" t="str">
        <v>revestimiento eifs para caras exteriores</v>
      </c>
    </row>
    <row r="249">
      <c r="A249" t="str">
        <v>CAM-0244</v>
      </c>
      <c r="B249" t="str">
        <v>ACABADOS Y GYPSUM</v>
      </c>
      <c r="C249" t="str">
        <v>10,0107</v>
      </c>
      <c r="D249" s="97" t="str">
        <v>REVESTIMIENTO DE CARAS INTERIORES STEEL FRAME CON GYPSUM Y PINTURA DE LÁTEX</v>
      </c>
      <c r="E249" t="str">
        <v>m²</v>
      </c>
      <c r="F249" s="95" t="n">
        <v>7.62</v>
      </c>
      <c r="G249" s="95" t="n">
        <v>4.99</v>
      </c>
      <c r="H249" s="95" t="n">
        <v>2.01</v>
      </c>
      <c r="I249" s="95" t="n">
        <v>14.62</v>
      </c>
      <c r="J249" s="96" t="n">
        <v>0.22</v>
      </c>
      <c r="K249" s="95" t="n">
        <f>I249*(1+J249)</f>
        <v>17.836399999999998</v>
      </c>
      <c r="L249" s="96" t="n">
        <v>0.3</v>
      </c>
      <c r="M249" s="95" t="n">
        <f>K249*(1+L249)</f>
        <v>23.187319999999996</v>
      </c>
      <c r="N249" t="str">
        <v>CAMICON · Quito</v>
      </c>
      <c r="O249" t="str">
        <v>Octubre–diciembre 2025</v>
      </c>
      <c r="P249" s="97" t="str">
        <v>REFERENCIAL QUITO · utilidad 30% provisional</v>
      </c>
      <c r="Q249" t="str">
        <v>SISTEMAS DE CONSTRUCCIÓN EN SECO</v>
      </c>
      <c r="R249" t="str">
        <v>revestimiento de caras interiores steel frame con gypsum y pintura de latex</v>
      </c>
    </row>
    <row r="250">
      <c r="A250" t="str">
        <v>CAM-0245</v>
      </c>
      <c r="B250" t="str">
        <v>ACABADOS Y GYPSUM</v>
      </c>
      <c r="C250" t="str">
        <v>10,0108</v>
      </c>
      <c r="D250" s="97" t="str">
        <v>REVESTIMIENTO DE CARAS INTERIORES STEEL FRAME CON GYPSUM Y CERÁMICA</v>
      </c>
      <c r="E250" t="str">
        <v>m²</v>
      </c>
      <c r="F250" s="95" t="n">
        <v>19.39</v>
      </c>
      <c r="G250" s="95" t="n">
        <v>9.3</v>
      </c>
      <c r="H250" s="95" t="n">
        <v>2.44</v>
      </c>
      <c r="I250" s="95" t="n">
        <v>31.13</v>
      </c>
      <c r="J250" s="96" t="n">
        <v>0.22</v>
      </c>
      <c r="K250" s="95" t="n">
        <f>I250*(1+J250)</f>
        <v>37.9786</v>
      </c>
      <c r="L250" s="96" t="n">
        <v>0.3</v>
      </c>
      <c r="M250" s="95" t="n">
        <f>K250*(1+L250)</f>
        <v>49.37218</v>
      </c>
      <c r="N250" t="str">
        <v>CAMICON · Quito</v>
      </c>
      <c r="O250" t="str">
        <v>Octubre–diciembre 2025</v>
      </c>
      <c r="P250" s="97" t="str">
        <v>REFERENCIAL QUITO · utilidad 30% provisional</v>
      </c>
      <c r="Q250" t="str">
        <v>SISTEMAS DE CONSTRUCCIÓN EN SECO</v>
      </c>
      <c r="R250" t="str">
        <v>revestimiento de caras interiores steel frame con gypsum y ceramica</v>
      </c>
    </row>
    <row r="251">
      <c r="A251" t="str">
        <v>CAM-0246</v>
      </c>
      <c r="B251" t="str">
        <v>ACABADOS Y GYPSUM</v>
      </c>
      <c r="C251" t="str">
        <v>10,0109</v>
      </c>
      <c r="D251" s="97" t="str">
        <v>REVESTIMIENTO DE CARAS INTERIORES STEEL FRAME CON GYPSUM CON ENLUCIDO DE MORTERO</v>
      </c>
      <c r="E251" t="str">
        <v>m²</v>
      </c>
      <c r="F251" s="95" t="n">
        <v>7.38</v>
      </c>
      <c r="G251" s="95" t="n">
        <v>10.96</v>
      </c>
      <c r="H251" s="95" t="n">
        <v>1.6</v>
      </c>
      <c r="I251" s="95" t="n">
        <v>19.94</v>
      </c>
      <c r="J251" s="96" t="n">
        <v>0.22</v>
      </c>
      <c r="K251" s="95" t="n">
        <f>I251*(1+J251)</f>
        <v>24.326800000000002</v>
      </c>
      <c r="L251" s="96" t="n">
        <v>0.3</v>
      </c>
      <c r="M251" s="95" t="n">
        <f>K251*(1+L251)</f>
        <v>31.624840000000003</v>
      </c>
      <c r="N251" t="str">
        <v>CAMICON · Quito</v>
      </c>
      <c r="O251" t="str">
        <v>Octubre–diciembre 2025</v>
      </c>
      <c r="P251" s="97" t="str">
        <v>REFERENCIAL QUITO · utilidad 30% provisional</v>
      </c>
      <c r="Q251" t="str">
        <v>SISTEMAS DE CONSTRUCCIÓN EN SECO</v>
      </c>
      <c r="R251" t="str">
        <v>revestimiento de caras interiores steel frame con gypsum con enlucido de mortero</v>
      </c>
    </row>
    <row r="252">
      <c r="A252" t="str">
        <v>CAM-0247</v>
      </c>
      <c r="B252" t="str">
        <v>ACABADOS Y GYPSUM</v>
      </c>
      <c r="C252" t="str">
        <v>10,0110</v>
      </c>
      <c r="D252" s="97" t="str">
        <v>REVESTIMIENTO DE CARAS INTERIORES STEEL FRAME CON GYPSUM Y PINTURA DE LÁTEX PARA ZONAS HÚMEDAS (BAÑOS-COCINA)</v>
      </c>
      <c r="E252" t="str">
        <v>m²</v>
      </c>
      <c r="F252" s="95" t="n">
        <v>8.93</v>
      </c>
      <c r="G252" s="95" t="n">
        <v>4.99</v>
      </c>
      <c r="H252" s="95" t="n">
        <v>2.01</v>
      </c>
      <c r="I252" s="95" t="n">
        <v>15.93</v>
      </c>
      <c r="J252" s="96" t="n">
        <v>0.22</v>
      </c>
      <c r="K252" s="95" t="n">
        <f>I252*(1+J252)</f>
        <v>19.4346</v>
      </c>
      <c r="L252" s="96" t="n">
        <v>0.3</v>
      </c>
      <c r="M252" s="95" t="n">
        <f>K252*(1+L252)</f>
        <v>25.26498</v>
      </c>
      <c r="N252" t="str">
        <v>CAMICON · Quito</v>
      </c>
      <c r="O252" t="str">
        <v>Octubre–diciembre 2025</v>
      </c>
      <c r="P252" s="97" t="str">
        <v>REFERENCIAL QUITO · utilidad 30% provisional</v>
      </c>
      <c r="Q252" t="str">
        <v>SISTEMAS DE CONSTRUCCIÓN EN SECO</v>
      </c>
      <c r="R252" t="str">
        <v>revestimiento de caras interiores steel frame con gypsum y pintura de latex para zonas humedas (banos-cocina)</v>
      </c>
    </row>
    <row r="253">
      <c r="A253" t="str">
        <v>CAM-0248</v>
      </c>
      <c r="B253" t="str">
        <v>ACABADOS Y GYPSUM</v>
      </c>
      <c r="C253" t="str">
        <v>10,0111</v>
      </c>
      <c r="D253" s="97" t="str">
        <v>REVESTIMIENTO DE CARAS INTERIORES STEEL FRAME CON GYPSUM Y CERÁMICA PARA ZONAS HÚMEDAS (BAÑOS-COCINA)</v>
      </c>
      <c r="E253" t="str">
        <v>m²</v>
      </c>
      <c r="F253" s="95" t="n">
        <v>20.7</v>
      </c>
      <c r="G253" s="95" t="n">
        <v>9.3</v>
      </c>
      <c r="H253" s="95" t="n">
        <v>2.44</v>
      </c>
      <c r="I253" s="95" t="n">
        <v>32.44</v>
      </c>
      <c r="J253" s="96" t="n">
        <v>0.22</v>
      </c>
      <c r="K253" s="95" t="n">
        <f>I253*(1+J253)</f>
        <v>39.5768</v>
      </c>
      <c r="L253" s="96" t="n">
        <v>0.3</v>
      </c>
      <c r="M253" s="95" t="n">
        <f>K253*(1+L253)</f>
        <v>51.44984</v>
      </c>
      <c r="N253" t="str">
        <v>CAMICON · Quito</v>
      </c>
      <c r="O253" t="str">
        <v>Octubre–diciembre 2025</v>
      </c>
      <c r="P253" s="97" t="str">
        <v>REFERENCIAL QUITO · utilidad 30% provisional</v>
      </c>
      <c r="Q253" t="str">
        <v>SISTEMAS DE CONSTRUCCIÓN EN SECO</v>
      </c>
      <c r="R253" t="str">
        <v>revestimiento de caras interiores steel frame con gypsum y ceramica para zonas humedas (banos-cocina)</v>
      </c>
    </row>
    <row r="254">
      <c r="A254" t="str">
        <v>CAM-0249</v>
      </c>
      <c r="B254" t="str">
        <v>VARIOS, TRANSPORTE Y MONTAJE</v>
      </c>
      <c r="C254" t="str">
        <v>10,0112</v>
      </c>
      <c r="D254" s="97" t="str">
        <v>APLICACIÓN DE BANDA ACÚSTICA ANTIVIBRATORIA DE POLIETILENO</v>
      </c>
      <c r="E254" t="str">
        <v>mtl</v>
      </c>
      <c r="F254" s="95" t="n">
        <v>1.17</v>
      </c>
      <c r="G254" s="95" t="n">
        <v>0.27</v>
      </c>
      <c r="H254" s="95" t="n">
        <v>0.01</v>
      </c>
      <c r="I254" s="95" t="n">
        <v>1.45</v>
      </c>
      <c r="J254" s="96" t="n">
        <v>0.22</v>
      </c>
      <c r="K254" s="95" t="n">
        <f>I254*(1+J254)</f>
        <v>1.769</v>
      </c>
      <c r="L254" s="96" t="n">
        <v>0.3</v>
      </c>
      <c r="M254" s="95" t="n">
        <f>K254*(1+L254)</f>
        <v>2.2997</v>
      </c>
      <c r="N254" t="str">
        <v>CAMICON · Quito</v>
      </c>
      <c r="O254" t="str">
        <v>Octubre–diciembre 2025</v>
      </c>
      <c r="P254" s="97" t="str">
        <v>REFERENCIAL QUITO · utilidad 30% provisional</v>
      </c>
      <c r="Q254" t="str">
        <v>SISTEMAS DE CONSTRUCCIÓN EN SECO</v>
      </c>
      <c r="R254" t="str">
        <v>aplicacion de banda acustica antivibratoria de polietileno</v>
      </c>
    </row>
    <row r="255">
      <c r="A255" t="str">
        <v>CAM-0250</v>
      </c>
      <c r="B255" t="str">
        <v>VARIOS, TRANSPORTE Y MONTAJE</v>
      </c>
      <c r="C255" t="str">
        <v>10,0113</v>
      </c>
      <c r="D255" s="97" t="str">
        <v>PIEZA DE ANCLAJE HOLD DOWN HTT14 EN MONTANTE INC. ANCLAJE QUIMICO</v>
      </c>
      <c r="E255" t="str">
        <v>u</v>
      </c>
      <c r="F255" s="95" t="n">
        <v>33.56</v>
      </c>
      <c r="G255" s="95" t="n">
        <v>2.97</v>
      </c>
      <c r="H255" s="95" t="n">
        <v>0.77</v>
      </c>
      <c r="I255" s="95" t="n">
        <v>37.3</v>
      </c>
      <c r="J255" s="96" t="n">
        <v>0.22</v>
      </c>
      <c r="K255" s="95" t="n">
        <f>I255*(1+J255)</f>
        <v>45.50599999999999</v>
      </c>
      <c r="L255" s="96" t="n">
        <v>0.3</v>
      </c>
      <c r="M255" s="95" t="n">
        <f>K255*(1+L255)</f>
        <v>59.157799999999995</v>
      </c>
      <c r="N255" t="str">
        <v>CAMICON · Quito</v>
      </c>
      <c r="O255" t="str">
        <v>Octubre–diciembre 2025</v>
      </c>
      <c r="P255" s="97" t="str">
        <v>REFERENCIAL QUITO · utilidad 30% provisional</v>
      </c>
      <c r="Q255" t="str">
        <v>SISTEMAS DE CONSTRUCCIÓN EN SECO</v>
      </c>
      <c r="R255" t="str">
        <v>pieza de anclaje hold down htt14 en montante inc. anclaje quimico</v>
      </c>
    </row>
    <row r="256">
      <c r="A256" t="str">
        <v>CAM-0251</v>
      </c>
      <c r="B256" t="str">
        <v>VARIOS, TRANSPORTE Y MONTAJE</v>
      </c>
      <c r="C256" t="str">
        <v>10,0114</v>
      </c>
      <c r="D256" s="97" t="str">
        <v>ANCLAJE MECÁNICO TIPO CAMISA 1/2" X 2-3/4" PARA PAREDES PERIMETRALES</v>
      </c>
      <c r="E256" t="str">
        <v>u</v>
      </c>
      <c r="F256" s="95" t="n">
        <v>1.01</v>
      </c>
      <c r="G256" s="95" t="n">
        <v>0.32</v>
      </c>
      <c r="H256" s="95" t="n">
        <v>0.09</v>
      </c>
      <c r="I256" s="95" t="n">
        <v>1.42</v>
      </c>
      <c r="J256" s="96" t="n">
        <v>0.22</v>
      </c>
      <c r="K256" s="95" t="n">
        <f>I256*(1+J256)</f>
        <v>1.7324</v>
      </c>
      <c r="L256" s="96" t="n">
        <v>0.3</v>
      </c>
      <c r="M256" s="95" t="n">
        <f>K256*(1+L256)</f>
        <v>2.25212</v>
      </c>
      <c r="N256" t="str">
        <v>CAMICON · Quito</v>
      </c>
      <c r="O256" t="str">
        <v>Octubre–diciembre 2025</v>
      </c>
      <c r="P256" s="97" t="str">
        <v>REFERENCIAL QUITO · utilidad 30% provisional</v>
      </c>
      <c r="Q256" t="str">
        <v>SISTEMAS DE CONSTRUCCIÓN EN SECO</v>
      </c>
      <c r="R256" t="str">
        <v>anclaje mecanico tipo camisa 1/2" x 2-3/4" para paredes perimetrales</v>
      </c>
    </row>
    <row r="257">
      <c r="A257" t="str">
        <v>CAM-0252</v>
      </c>
      <c r="B257" t="str">
        <v>VIDRIO Y ALUMINIO</v>
      </c>
      <c r="C257" t="str">
        <v>10,0115</v>
      </c>
      <c r="D257" s="97" t="str">
        <v>AISLAMIENTO TERMOACÚSTICO CON LANA DE VIDRIO E = 5 CM</v>
      </c>
      <c r="E257" t="str">
        <v>m²</v>
      </c>
      <c r="F257" s="95" t="n">
        <v>7.08</v>
      </c>
      <c r="G257" s="95" t="n">
        <v>0.36</v>
      </c>
      <c r="H257" s="95" t="n">
        <v>0.02</v>
      </c>
      <c r="I257" s="95" t="n">
        <v>7.46</v>
      </c>
      <c r="J257" s="96" t="n">
        <v>0.22</v>
      </c>
      <c r="K257" s="95" t="n">
        <f>I257*(1+J257)</f>
        <v>9.1012</v>
      </c>
      <c r="L257" s="96" t="n">
        <v>0.3</v>
      </c>
      <c r="M257" s="95" t="n">
        <f>K257*(1+L257)</f>
        <v>11.831560000000001</v>
      </c>
      <c r="N257" t="str">
        <v>CAMICON · Quito</v>
      </c>
      <c r="O257" t="str">
        <v>Octubre–diciembre 2025</v>
      </c>
      <c r="P257" s="97" t="str">
        <v>REFERENCIAL QUITO · utilidad 30% provisional</v>
      </c>
      <c r="Q257" t="str">
        <v>SISTEMAS DE CONSTRUCCIÓN EN SECO</v>
      </c>
      <c r="R257" t="str">
        <v>aislamiento termoacustico con lana de vidrio e = 5 cm</v>
      </c>
    </row>
    <row r="258">
      <c r="A258" t="str">
        <v>CAM-0253</v>
      </c>
      <c r="B258" t="str">
        <v>VARIOS, TRANSPORTE Y MONTAJE</v>
      </c>
      <c r="C258" t="str">
        <v>10,0116</v>
      </c>
      <c r="D258" s="97" t="str">
        <v>AISLAMIENTO TERMOACÚSTICO CON LANA DE ROCA E = 5 CM</v>
      </c>
      <c r="E258" t="str">
        <v>m²</v>
      </c>
      <c r="F258" s="95" t="n">
        <v>26.99</v>
      </c>
      <c r="G258" s="95" t="n">
        <v>0.34</v>
      </c>
      <c r="H258" s="95" t="n">
        <v>0.02</v>
      </c>
      <c r="I258" s="95" t="n">
        <v>27.35</v>
      </c>
      <c r="J258" s="96" t="n">
        <v>0.22</v>
      </c>
      <c r="K258" s="95" t="n">
        <f>I258*(1+J258)</f>
        <v>33.367000000000004</v>
      </c>
      <c r="L258" s="96" t="n">
        <v>0.3</v>
      </c>
      <c r="M258" s="95" t="n">
        <f>K258*(1+L258)</f>
        <v>43.377100000000006</v>
      </c>
      <c r="N258" t="str">
        <v>CAMICON · Quito</v>
      </c>
      <c r="O258" t="str">
        <v>Octubre–diciembre 2025</v>
      </c>
      <c r="P258" s="97" t="str">
        <v>REFERENCIAL QUITO · utilidad 30% provisional</v>
      </c>
      <c r="Q258" t="str">
        <v>SISTEMAS DE CONSTRUCCIÓN EN SECO</v>
      </c>
      <c r="R258" t="str">
        <v>aislamiento termoacustico con lana de roca e = 5 cm</v>
      </c>
    </row>
    <row r="259">
      <c r="A259" t="str">
        <v>CAM-0254</v>
      </c>
      <c r="B259" t="str">
        <v>VARIOS, TRANSPORTE Y MONTAJE</v>
      </c>
      <c r="C259" t="str">
        <v>10,0117</v>
      </c>
      <c r="D259" s="97" t="str">
        <v>AISLAMIENTO TERMOACÚSTICO CON ESPUMA DE POLIURETANO E = 15 MM</v>
      </c>
      <c r="E259" t="str">
        <v>m²</v>
      </c>
      <c r="F259" s="95" t="n">
        <v>6.53</v>
      </c>
      <c r="G259" s="95" t="n">
        <v>0.36</v>
      </c>
      <c r="H259" s="95" t="n">
        <v>0.02</v>
      </c>
      <c r="I259" s="95" t="n">
        <v>6.91</v>
      </c>
      <c r="J259" s="96" t="n">
        <v>0.22</v>
      </c>
      <c r="K259" s="95" t="n">
        <f>I259*(1+J259)</f>
        <v>8.4302</v>
      </c>
      <c r="L259" s="96" t="n">
        <v>0.3</v>
      </c>
      <c r="M259" s="95" t="n">
        <f>K259*(1+L259)</f>
        <v>10.959259999999999</v>
      </c>
      <c r="N259" t="str">
        <v>CAMICON · Quito</v>
      </c>
      <c r="O259" t="str">
        <v>Octubre–diciembre 2025</v>
      </c>
      <c r="P259" s="97" t="str">
        <v>REFERENCIAL QUITO · utilidad 30% provisional</v>
      </c>
      <c r="Q259" t="str">
        <v>SISTEMAS DE CONSTRUCCIÓN EN SECO</v>
      </c>
      <c r="R259" t="str">
        <v>aislamiento termoacustico con espuma de poliuretano e = 15 mm</v>
      </c>
    </row>
    <row r="260">
      <c r="A260" t="str">
        <v>CAM-0255</v>
      </c>
      <c r="B260" t="str">
        <v>VARIOS, TRANSPORTE Y MONTAJE</v>
      </c>
      <c r="C260" t="str">
        <v>10,0118</v>
      </c>
      <c r="D260" s="97" t="str">
        <v>AISLAMIENTO TERMOACÚSTICO CON ESPUMA DE POLIURETANO E = 20 MM</v>
      </c>
      <c r="E260" t="str">
        <v>m²</v>
      </c>
      <c r="F260" s="95" t="n">
        <v>10.73</v>
      </c>
      <c r="G260" s="95" t="n">
        <v>0.51</v>
      </c>
      <c r="H260" s="95" t="n">
        <v>0.03</v>
      </c>
      <c r="I260" s="95" t="n">
        <v>11.27</v>
      </c>
      <c r="J260" s="96" t="n">
        <v>0.22</v>
      </c>
      <c r="K260" s="95" t="n">
        <f>I260*(1+J260)</f>
        <v>13.7494</v>
      </c>
      <c r="L260" s="96" t="n">
        <v>0.3</v>
      </c>
      <c r="M260" s="95" t="n">
        <f>K260*(1+L260)</f>
        <v>17.87422</v>
      </c>
      <c r="N260" t="str">
        <v>CAMICON · Quito</v>
      </c>
      <c r="O260" t="str">
        <v>Octubre–diciembre 2025</v>
      </c>
      <c r="P260" s="97" t="str">
        <v>REFERENCIAL QUITO · utilidad 30% provisional</v>
      </c>
      <c r="Q260" t="str">
        <v>SISTEMAS DE CONSTRUCCIÓN EN SECO</v>
      </c>
      <c r="R260" t="str">
        <v>aislamiento termoacustico con espuma de poliuretano e = 20 mm</v>
      </c>
    </row>
    <row r="261">
      <c r="A261" t="str">
        <v>CAM-0256</v>
      </c>
      <c r="B261" t="str">
        <v>VARIOS, TRANSPORTE Y MONTAJE</v>
      </c>
      <c r="C261" t="str">
        <v>10,0119</v>
      </c>
      <c r="D261" s="97" t="str">
        <v>AISLAMIENTO TERMOACÚSTICO CON PANEL EPS E=5CM</v>
      </c>
      <c r="E261" t="str">
        <v>m²</v>
      </c>
      <c r="F261" s="95" t="n">
        <v>5.09</v>
      </c>
      <c r="G261" s="95" t="n">
        <v>0.5</v>
      </c>
      <c r="H261" s="95" t="n">
        <v>0.03</v>
      </c>
      <c r="I261" s="95" t="n">
        <v>5.62</v>
      </c>
      <c r="J261" s="96" t="n">
        <v>0.22</v>
      </c>
      <c r="K261" s="95" t="n">
        <f>I261*(1+J261)</f>
        <v>6.8564</v>
      </c>
      <c r="L261" s="96" t="n">
        <v>0.3</v>
      </c>
      <c r="M261" s="95" t="n">
        <f>K261*(1+L261)</f>
        <v>8.91332</v>
      </c>
      <c r="N261" t="str">
        <v>CAMICON · Quito</v>
      </c>
      <c r="O261" t="str">
        <v>Octubre–diciembre 2025</v>
      </c>
      <c r="P261" s="97" t="str">
        <v>REFERENCIAL QUITO · utilidad 30% provisional</v>
      </c>
      <c r="Q261" t="str">
        <v>SISTEMAS DE CONSTRUCCIÓN EN SECO</v>
      </c>
      <c r="R261" t="str">
        <v>aislamiento termoacustico con panel eps e=5cm</v>
      </c>
    </row>
    <row r="262">
      <c r="A262" t="str">
        <v>CAM-0257</v>
      </c>
      <c r="B262" t="str">
        <v>VARIOS, TRANSPORTE Y MONTAJE</v>
      </c>
      <c r="C262" t="str">
        <v>10,0120</v>
      </c>
      <c r="D262" s="97" t="str">
        <v>AISLAMIENTO TERMOACÚSTICO CON PANEL EPS E=10CM</v>
      </c>
      <c r="E262" t="str">
        <v>m²</v>
      </c>
      <c r="F262" s="95" t="n">
        <v>10.68</v>
      </c>
      <c r="G262" s="95" t="n">
        <v>0.76</v>
      </c>
      <c r="H262" s="95" t="n">
        <v>0.04</v>
      </c>
      <c r="I262" s="95" t="n">
        <v>11.48</v>
      </c>
      <c r="J262" s="96" t="n">
        <v>0.22</v>
      </c>
      <c r="K262" s="95" t="n">
        <f>I262*(1+J262)</f>
        <v>14.0056</v>
      </c>
      <c r="L262" s="96" t="n">
        <v>0.3</v>
      </c>
      <c r="M262" s="95" t="n">
        <f>K262*(1+L262)</f>
        <v>18.20728</v>
      </c>
      <c r="N262" t="str">
        <v>CAMICON · Quito</v>
      </c>
      <c r="O262" t="str">
        <v>Octubre–diciembre 2025</v>
      </c>
      <c r="P262" s="97" t="str">
        <v>REFERENCIAL QUITO · utilidad 30% provisional</v>
      </c>
      <c r="Q262" t="str">
        <v>SISTEMAS DE CONSTRUCCIÓN EN SECO</v>
      </c>
      <c r="R262" t="str">
        <v>aislamiento termoacustico con panel eps e=10cm</v>
      </c>
    </row>
    <row r="263">
      <c r="A263" t="str">
        <v>CAM-0258</v>
      </c>
      <c r="B263" t="str">
        <v>ACABADOS Y GYPSUM</v>
      </c>
      <c r="C263" t="str">
        <v>11,0101</v>
      </c>
      <c r="D263" s="97" t="str">
        <v>CIELO RASO FALSO FIBROLIT</v>
      </c>
      <c r="E263" t="str">
        <v>m²</v>
      </c>
      <c r="F263" s="95" t="n">
        <v>10.34</v>
      </c>
      <c r="G263" s="95" t="n">
        <v>9.25</v>
      </c>
      <c r="H263" s="95" t="n">
        <v>1.78</v>
      </c>
      <c r="I263" s="95" t="n">
        <v>21.37</v>
      </c>
      <c r="J263" s="96" t="n">
        <v>0.22</v>
      </c>
      <c r="K263" s="95" t="n">
        <f>I263*(1+J263)</f>
        <v>26.0714</v>
      </c>
      <c r="L263" s="96" t="n">
        <v>0.3</v>
      </c>
      <c r="M263" s="95" t="n">
        <f>K263*(1+L263)</f>
        <v>33.89282</v>
      </c>
      <c r="N263" t="str">
        <v>CAMICON · Quito</v>
      </c>
      <c r="O263" t="str">
        <v>Octubre–diciembre 2025</v>
      </c>
      <c r="P263" s="97" t="str">
        <v>REFERENCIAL QUITO · utilidad 30% provisional</v>
      </c>
      <c r="Q263" t="str">
        <v>CIELO RASO</v>
      </c>
      <c r="R263" t="str">
        <v>cielo raso falso fibrolit</v>
      </c>
    </row>
    <row r="264">
      <c r="A264" t="str">
        <v>CAM-0259</v>
      </c>
      <c r="B264" t="str">
        <v>ACABADOS Y GYPSUM</v>
      </c>
      <c r="C264" t="str">
        <v>11,0102</v>
      </c>
      <c r="D264" s="97" t="str">
        <v>CIELO RASO GYPSUM DE ANTIHUMEDAD 1/2" , INC. EMPASTE Y PINTURA</v>
      </c>
      <c r="E264" t="str">
        <v>m²</v>
      </c>
      <c r="F264" s="95" t="n">
        <v>12.9</v>
      </c>
      <c r="G264" s="95" t="n">
        <v>5.4</v>
      </c>
      <c r="H264" s="95" t="n">
        <v>1.4</v>
      </c>
      <c r="I264" s="95" t="n">
        <v>19.7</v>
      </c>
      <c r="J264" s="96" t="n">
        <v>0.22</v>
      </c>
      <c r="K264" s="95" t="n">
        <f>I264*(1+J264)</f>
        <v>24.034</v>
      </c>
      <c r="L264" s="96" t="n">
        <v>0.3</v>
      </c>
      <c r="M264" s="95" t="n">
        <f>K264*(1+L264)</f>
        <v>31.2442</v>
      </c>
      <c r="N264" t="str">
        <v>CAMICON · Quito</v>
      </c>
      <c r="O264" t="str">
        <v>Octubre–diciembre 2025</v>
      </c>
      <c r="P264" s="97" t="str">
        <v>REFERENCIAL QUITO · utilidad 30% provisional</v>
      </c>
      <c r="Q264" t="str">
        <v>CIELO RASO</v>
      </c>
      <c r="R264" t="str">
        <v>cielo raso gypsum de antihumedad 1/2" , inc. empaste y pintura</v>
      </c>
    </row>
    <row r="265">
      <c r="A265" t="str">
        <v>CAM-0260</v>
      </c>
      <c r="B265" t="str">
        <v>ACABADOS Y GYPSUM</v>
      </c>
      <c r="C265" t="str">
        <v>11,0103</v>
      </c>
      <c r="D265" s="97" t="str">
        <v>CIELO RASO GYPSUM, 1/2" , INC. EMPASTE Y PINTURA</v>
      </c>
      <c r="E265" t="str">
        <v>m²</v>
      </c>
      <c r="F265" s="95" t="n">
        <v>11.64</v>
      </c>
      <c r="G265" s="95" t="n">
        <v>5.4</v>
      </c>
      <c r="H265" s="95" t="n">
        <v>1.4</v>
      </c>
      <c r="I265" s="95" t="n">
        <v>18.44</v>
      </c>
      <c r="J265" s="96" t="n">
        <v>0.22</v>
      </c>
      <c r="K265" s="95" t="n">
        <f>I265*(1+J265)</f>
        <v>22.4968</v>
      </c>
      <c r="L265" s="96" t="n">
        <v>0.3</v>
      </c>
      <c r="M265" s="95" t="n">
        <f>K265*(1+L265)</f>
        <v>29.24584</v>
      </c>
      <c r="N265" t="str">
        <v>CAMICON · Quito</v>
      </c>
      <c r="O265" t="str">
        <v>Octubre–diciembre 2025</v>
      </c>
      <c r="P265" s="97" t="str">
        <v>REFERENCIAL QUITO · utilidad 30% provisional</v>
      </c>
      <c r="Q265" t="str">
        <v>CIELO RASO</v>
      </c>
      <c r="R265" t="str">
        <v>cielo raso gypsum, 1/2" , inc. empaste y pintura</v>
      </c>
    </row>
    <row r="266">
      <c r="A266" t="str">
        <v>CAM-0261</v>
      </c>
      <c r="B266" t="str">
        <v>ACABADOS Y GYPSUM</v>
      </c>
      <c r="C266" t="str">
        <v>11,0104</v>
      </c>
      <c r="D266" s="97" t="str">
        <v>CIELO RASO PVC BLANCO TIPO DUELA 5.7X 0.20 M</v>
      </c>
      <c r="E266" t="str">
        <v>m²</v>
      </c>
      <c r="F266" s="95" t="n">
        <v>9.27</v>
      </c>
      <c r="G266" s="95" t="n">
        <v>4.5</v>
      </c>
      <c r="H266" s="95" t="n">
        <v>1.17</v>
      </c>
      <c r="I266" s="95" t="n">
        <v>14.94</v>
      </c>
      <c r="J266" s="96" t="n">
        <v>0.22</v>
      </c>
      <c r="K266" s="95" t="n">
        <f>I266*(1+J266)</f>
        <v>18.226799999999997</v>
      </c>
      <c r="L266" s="96" t="n">
        <v>0.3</v>
      </c>
      <c r="M266" s="95" t="n">
        <f>K266*(1+L266)</f>
        <v>23.694839999999996</v>
      </c>
      <c r="N266" t="str">
        <v>CAMICON · Quito</v>
      </c>
      <c r="O266" t="str">
        <v>Octubre–diciembre 2025</v>
      </c>
      <c r="P266" s="97" t="str">
        <v>REFERENCIAL QUITO · utilidad 30% provisional</v>
      </c>
      <c r="Q266" t="str">
        <v>CIELO RASO</v>
      </c>
      <c r="R266" t="str">
        <v>cielo raso pvc blanco tipo duela 5.7x 0.20 m</v>
      </c>
    </row>
    <row r="267">
      <c r="A267" t="str">
        <v>CAM-0262</v>
      </c>
      <c r="B267" t="str">
        <v>ACABADOS Y GYPSUM</v>
      </c>
      <c r="C267" t="str">
        <v>11,0105</v>
      </c>
      <c r="D267" s="97" t="str">
        <v>CORNISA DE YESO</v>
      </c>
      <c r="E267" t="str">
        <v>mtl</v>
      </c>
      <c r="F267" s="95" t="n">
        <v>5.26</v>
      </c>
      <c r="G267" s="95" t="n">
        <v>2.37</v>
      </c>
      <c r="H267" s="95" t="n">
        <v>0.53</v>
      </c>
      <c r="I267" s="95" t="n">
        <v>8.16</v>
      </c>
      <c r="J267" s="96" t="n">
        <v>0.22</v>
      </c>
      <c r="K267" s="95" t="n">
        <f>I267*(1+J267)</f>
        <v>9.9552</v>
      </c>
      <c r="L267" s="96" t="n">
        <v>0.3</v>
      </c>
      <c r="M267" s="95" t="n">
        <f>K267*(1+L267)</f>
        <v>12.94176</v>
      </c>
      <c r="N267" t="str">
        <v>CAMICON · Quito</v>
      </c>
      <c r="O267" t="str">
        <v>Octubre–diciembre 2025</v>
      </c>
      <c r="P267" s="97" t="str">
        <v>REFERENCIAL QUITO · utilidad 30% provisional</v>
      </c>
      <c r="Q267" t="str">
        <v>CIELO RASO</v>
      </c>
      <c r="R267" t="str">
        <v>cornisa de yeso</v>
      </c>
    </row>
    <row r="268">
      <c r="A268" t="str">
        <v>CAM-0263</v>
      </c>
      <c r="B268" t="str">
        <v>OBRA CIVIL</v>
      </c>
      <c r="C268" t="str">
        <v>12,0101</v>
      </c>
      <c r="D268" s="97" t="str">
        <v>CUBIERTA DE GALVALUMEN PREPINTADO E= 40 MM</v>
      </c>
      <c r="E268" t="str">
        <v>m²</v>
      </c>
      <c r="F268" s="95" t="n">
        <v>6.71</v>
      </c>
      <c r="G268" s="95" t="n">
        <v>2.69</v>
      </c>
      <c r="H268" s="95" t="n">
        <v>0.69</v>
      </c>
      <c r="I268" s="95" t="n">
        <v>10.09</v>
      </c>
      <c r="J268" s="96" t="n">
        <v>0.22</v>
      </c>
      <c r="K268" s="95" t="n">
        <f>I268*(1+J268)</f>
        <v>12.3098</v>
      </c>
      <c r="L268" s="96" t="n">
        <v>0.3</v>
      </c>
      <c r="M268" s="95" t="n">
        <f>K268*(1+L268)</f>
        <v>16.00274</v>
      </c>
      <c r="N268" t="str">
        <v>CAMICON · Quito</v>
      </c>
      <c r="O268" t="str">
        <v>Octubre–diciembre 2025</v>
      </c>
      <c r="P268" s="97" t="str">
        <v>REFERENCIAL QUITO · utilidad 30% provisional</v>
      </c>
      <c r="Q268" t="str">
        <v>CUBIERTAS</v>
      </c>
      <c r="R268" t="str">
        <v>cubierta de galvalumen prepintado e= 40 mm</v>
      </c>
    </row>
    <row r="269">
      <c r="A269" t="str">
        <v>CAM-0264</v>
      </c>
      <c r="B269" t="str">
        <v>OBRA CIVIL</v>
      </c>
      <c r="C269" t="str">
        <v>12,0102</v>
      </c>
      <c r="D269" s="97" t="str">
        <v>CUBIERTA DE GALVALUMEN E= 45MM</v>
      </c>
      <c r="E269" t="str">
        <v>m²</v>
      </c>
      <c r="F269" s="95" t="n">
        <v>11.9</v>
      </c>
      <c r="G269" s="95" t="n">
        <v>2.69</v>
      </c>
      <c r="H269" s="95" t="n">
        <v>0.69</v>
      </c>
      <c r="I269" s="95" t="n">
        <v>15.28</v>
      </c>
      <c r="J269" s="96" t="n">
        <v>0.22</v>
      </c>
      <c r="K269" s="95" t="n">
        <f>I269*(1+J269)</f>
        <v>18.6416</v>
      </c>
      <c r="L269" s="96" t="n">
        <v>0.3</v>
      </c>
      <c r="M269" s="95" t="n">
        <f>K269*(1+L269)</f>
        <v>24.234080000000002</v>
      </c>
      <c r="N269" t="str">
        <v>CAMICON · Quito</v>
      </c>
      <c r="O269" t="str">
        <v>Octubre–diciembre 2025</v>
      </c>
      <c r="P269" s="97" t="str">
        <v>REFERENCIAL QUITO · utilidad 30% provisional</v>
      </c>
      <c r="Q269" t="str">
        <v>CUBIERTAS</v>
      </c>
      <c r="R269" t="str">
        <v>cubierta de galvalumen e= 45mm</v>
      </c>
    </row>
    <row r="270">
      <c r="A270" t="str">
        <v>CAM-0265</v>
      </c>
      <c r="B270" t="str">
        <v>OBRA CIVIL</v>
      </c>
      <c r="C270" t="str">
        <v>12,0103</v>
      </c>
      <c r="D270" s="97" t="str">
        <v>CUMBRERO GALVALUME</v>
      </c>
      <c r="E270" t="str">
        <v>mtl</v>
      </c>
      <c r="F270" s="95" t="n">
        <v>1.39</v>
      </c>
      <c r="G270" s="95" t="n">
        <v>2.25</v>
      </c>
      <c r="H270" s="95" t="n">
        <v>2.11</v>
      </c>
      <c r="I270" s="95" t="n">
        <v>5.75</v>
      </c>
      <c r="J270" s="96" t="n">
        <v>0.22</v>
      </c>
      <c r="K270" s="95" t="n">
        <f>I270*(1+J270)</f>
        <v>7.015</v>
      </c>
      <c r="L270" s="96" t="n">
        <v>0.3</v>
      </c>
      <c r="M270" s="95" t="n">
        <f>K270*(1+L270)</f>
        <v>9.1195</v>
      </c>
      <c r="N270" t="str">
        <v>CAMICON · Quito</v>
      </c>
      <c r="O270" t="str">
        <v>Octubre–diciembre 2025</v>
      </c>
      <c r="P270" s="97" t="str">
        <v>REFERENCIAL QUITO · utilidad 30% provisional</v>
      </c>
      <c r="Q270" t="str">
        <v>CUBIERTAS</v>
      </c>
      <c r="R270" t="str">
        <v>cumbrero galvalume</v>
      </c>
    </row>
    <row r="271">
      <c r="A271" t="str">
        <v>CAM-0266</v>
      </c>
      <c r="B271" t="str">
        <v>OBRA CIVIL</v>
      </c>
      <c r="C271" t="str">
        <v>12,0104</v>
      </c>
      <c r="D271" s="97" t="str">
        <v>INSTALACIÓN DE TEJA DIM: 0.6X17X38 CM, INC. ESTRUC. E IMPERMEABILIZACIÓN</v>
      </c>
      <c r="E271" t="str">
        <v>m²</v>
      </c>
      <c r="F271" s="95" t="n">
        <v>33.1</v>
      </c>
      <c r="G271" s="95" t="n">
        <v>8.99</v>
      </c>
      <c r="H271" s="95" t="n">
        <v>7.52</v>
      </c>
      <c r="I271" s="95" t="n">
        <v>49.61</v>
      </c>
      <c r="J271" s="96" t="n">
        <v>0.22</v>
      </c>
      <c r="K271" s="95" t="n">
        <f>I271*(1+J271)</f>
        <v>60.5242</v>
      </c>
      <c r="L271" s="96" t="n">
        <v>0.3</v>
      </c>
      <c r="M271" s="95" t="n">
        <f>K271*(1+L271)</f>
        <v>78.68146</v>
      </c>
      <c r="N271" t="str">
        <v>CAMICON · Quito</v>
      </c>
      <c r="O271" t="str">
        <v>Octubre–diciembre 2025</v>
      </c>
      <c r="P271" s="97" t="str">
        <v>REFERENCIAL QUITO · utilidad 30% provisional</v>
      </c>
      <c r="Q271" t="str">
        <v>CUBIERTAS</v>
      </c>
      <c r="R271" t="str">
        <v>instalacion de teja dim: 0.6x17x38 cm, inc. estruc. e impermeabilizacion</v>
      </c>
    </row>
    <row r="272">
      <c r="A272" t="str">
        <v>CAM-0267</v>
      </c>
      <c r="B272" t="str">
        <v>ACABADOS Y GYPSUM</v>
      </c>
      <c r="C272" t="str">
        <v>12,0105</v>
      </c>
      <c r="D272" s="97" t="str">
        <v>INSTALACIÓN DE TEJA TRADICIONAL DE CERÁMICA TIPO S' COLOR ROJO MATE NATURAL</v>
      </c>
      <c r="E272" t="str">
        <v>m²</v>
      </c>
      <c r="F272" s="95" t="n">
        <v>20.91</v>
      </c>
      <c r="G272" s="95" t="n">
        <v>10.79</v>
      </c>
      <c r="H272" s="95" t="n">
        <v>4.82</v>
      </c>
      <c r="I272" s="95" t="n">
        <v>36.52</v>
      </c>
      <c r="J272" s="96" t="n">
        <v>0.22</v>
      </c>
      <c r="K272" s="95" t="n">
        <f>I272*(1+J272)</f>
        <v>44.5544</v>
      </c>
      <c r="L272" s="96" t="n">
        <v>0.3</v>
      </c>
      <c r="M272" s="95" t="n">
        <f>K272*(1+L272)</f>
        <v>57.92072</v>
      </c>
      <c r="N272" t="str">
        <v>CAMICON · Quito</v>
      </c>
      <c r="O272" t="str">
        <v>Octubre–diciembre 2025</v>
      </c>
      <c r="P272" s="97" t="str">
        <v>REFERENCIAL QUITO · utilidad 30% provisional</v>
      </c>
      <c r="Q272" t="str">
        <v>CUBIERTAS</v>
      </c>
      <c r="R272" t="str">
        <v>instalacion de teja tradicional de ceramica tipo s' color rojo mate natural</v>
      </c>
    </row>
    <row r="273">
      <c r="A273" t="str">
        <v>CAM-0268</v>
      </c>
      <c r="B273" t="str">
        <v>OBRA CIVIL</v>
      </c>
      <c r="C273" t="str">
        <v>13,0101</v>
      </c>
      <c r="D273" s="97" t="str">
        <v>PUNTO DE AGUA POTABLE, TUBERÍA ACERO INOXIDABLE, D= 1/2 ".</v>
      </c>
      <c r="E273" t="str">
        <v>pto</v>
      </c>
      <c r="F273" s="95" t="n">
        <v>33.4</v>
      </c>
      <c r="G273" s="95" t="n">
        <v>15.14</v>
      </c>
      <c r="H273" s="95" t="n">
        <v>0.76</v>
      </c>
      <c r="I273" s="95" t="n">
        <v>49.3</v>
      </c>
      <c r="J273" s="96" t="n">
        <v>0.22</v>
      </c>
      <c r="K273" s="95" t="n">
        <f>I273*(1+J273)</f>
        <v>60.145999999999994</v>
      </c>
      <c r="L273" s="96" t="n">
        <v>0.3</v>
      </c>
      <c r="M273" s="95" t="n">
        <f>K273*(1+L273)</f>
        <v>78.18979999999999</v>
      </c>
      <c r="N273" t="str">
        <v>CAMICON · Quito</v>
      </c>
      <c r="O273" t="str">
        <v>Octubre–diciembre 2025</v>
      </c>
      <c r="P273" s="97" t="str">
        <v>REFERENCIAL QUITO · utilidad 30% provisional</v>
      </c>
      <c r="Q273" t="str">
        <v>INSTALACIONES HIDROSANITARIAS Y CONDUCCIONES: AGUA POTABLE</v>
      </c>
      <c r="R273" t="str">
        <v>punto de agua potable, tuberia acero inoxidable, d= 1/2 ".</v>
      </c>
    </row>
    <row r="274">
      <c r="A274" t="str">
        <v>CAM-0269</v>
      </c>
      <c r="B274" t="str">
        <v>OBRA CIVIL</v>
      </c>
      <c r="C274" t="str">
        <v>13,0102</v>
      </c>
      <c r="D274" s="97" t="str">
        <v>PUNTO DE AGUA POTABLE, TUBERÍA ACERO INOXIDABLE, D= 3/4 ".</v>
      </c>
      <c r="E274" t="str">
        <v>pto</v>
      </c>
      <c r="F274" s="95" t="n">
        <v>43.78</v>
      </c>
      <c r="G274" s="95" t="n">
        <v>15.14</v>
      </c>
      <c r="H274" s="95" t="n">
        <v>0.76</v>
      </c>
      <c r="I274" s="95" t="n">
        <v>59.68</v>
      </c>
      <c r="J274" s="96" t="n">
        <v>0.22</v>
      </c>
      <c r="K274" s="95" t="n">
        <f>I274*(1+J274)</f>
        <v>72.8096</v>
      </c>
      <c r="L274" s="96" t="n">
        <v>0.3</v>
      </c>
      <c r="M274" s="95" t="n">
        <f>K274*(1+L274)</f>
        <v>94.65248000000001</v>
      </c>
      <c r="N274" t="str">
        <v>CAMICON · Quito</v>
      </c>
      <c r="O274" t="str">
        <v>Octubre–diciembre 2025</v>
      </c>
      <c r="P274" s="97" t="str">
        <v>REFERENCIAL QUITO · utilidad 30% provisional</v>
      </c>
      <c r="Q274" t="str">
        <v>INSTALACIONES HIDROSANITARIAS Y CONDUCCIONES: AGUA POTABLE</v>
      </c>
      <c r="R274" t="str">
        <v>punto de agua potable, tuberia acero inoxidable, d= 3/4 ".</v>
      </c>
    </row>
    <row r="275">
      <c r="A275" t="str">
        <v>CAM-0270</v>
      </c>
      <c r="B275" t="str">
        <v>OBRA CIVIL</v>
      </c>
      <c r="C275" t="str">
        <v>13,0103</v>
      </c>
      <c r="D275" s="97" t="str">
        <v>TUBERÍA ACERO INOXIDABLE D= 1/2"</v>
      </c>
      <c r="E275" t="str">
        <v>mtl</v>
      </c>
      <c r="F275" s="95" t="n">
        <v>5.85</v>
      </c>
      <c r="G275" s="95" t="n">
        <v>1.41</v>
      </c>
      <c r="H275" s="95" t="n">
        <v>0.07</v>
      </c>
      <c r="I275" s="95" t="n">
        <v>7.33</v>
      </c>
      <c r="J275" s="96" t="n">
        <v>0.22</v>
      </c>
      <c r="K275" s="95" t="n">
        <f>I275*(1+J275)</f>
        <v>8.9426</v>
      </c>
      <c r="L275" s="96" t="n">
        <v>0.3</v>
      </c>
      <c r="M275" s="95" t="n">
        <f>K275*(1+L275)</f>
        <v>11.625380000000002</v>
      </c>
      <c r="N275" t="str">
        <v>CAMICON · Quito</v>
      </c>
      <c r="O275" t="str">
        <v>Octubre–diciembre 2025</v>
      </c>
      <c r="P275" s="97" t="str">
        <v>REFERENCIAL QUITO · utilidad 30% provisional</v>
      </c>
      <c r="Q275" t="str">
        <v>INSTALACIONES HIDROSANITARIAS Y CONDUCCIONES: AGUA POTABLE</v>
      </c>
      <c r="R275" t="str">
        <v>tuberia acero inoxidable d= 1/2"</v>
      </c>
    </row>
    <row r="276">
      <c r="A276" t="str">
        <v>CAM-0271</v>
      </c>
      <c r="B276" t="str">
        <v>OBRA CIVIL</v>
      </c>
      <c r="C276" t="str">
        <v>13,0104</v>
      </c>
      <c r="D276" s="97" t="str">
        <v>TUBERÍA ACERO INOXIDABLE D= 3/4"</v>
      </c>
      <c r="E276" t="str">
        <v>mtl</v>
      </c>
      <c r="F276" s="95" t="n">
        <v>7.94</v>
      </c>
      <c r="G276" s="95" t="n">
        <v>1.41</v>
      </c>
      <c r="H276" s="95" t="n">
        <v>0.07</v>
      </c>
      <c r="I276" s="95" t="n">
        <v>9.42</v>
      </c>
      <c r="J276" s="96" t="n">
        <v>0.22</v>
      </c>
      <c r="K276" s="95" t="n">
        <f>I276*(1+J276)</f>
        <v>11.4924</v>
      </c>
      <c r="L276" s="96" t="n">
        <v>0.3</v>
      </c>
      <c r="M276" s="95" t="n">
        <f>K276*(1+L276)</f>
        <v>14.94012</v>
      </c>
      <c r="N276" t="str">
        <v>CAMICON · Quito</v>
      </c>
      <c r="O276" t="str">
        <v>Octubre–diciembre 2025</v>
      </c>
      <c r="P276" s="97" t="str">
        <v>REFERENCIAL QUITO · utilidad 30% provisional</v>
      </c>
      <c r="Q276" t="str">
        <v>INSTALACIONES HIDROSANITARIAS Y CONDUCCIONES: AGUA POTABLE</v>
      </c>
      <c r="R276" t="str">
        <v>tuberia acero inoxidable d= 3/4"</v>
      </c>
    </row>
    <row r="277">
      <c r="A277" t="str">
        <v>CAM-0272</v>
      </c>
      <c r="B277" t="str">
        <v>OBRA CIVIL</v>
      </c>
      <c r="C277" t="str">
        <v>13,0105</v>
      </c>
      <c r="D277" s="97" t="str">
        <v>TUBERÍA ACERO INOXIDABLE D= 1"</v>
      </c>
      <c r="E277" t="str">
        <v>mtl</v>
      </c>
      <c r="F277" s="95" t="n">
        <v>8.85</v>
      </c>
      <c r="G277" s="95" t="n">
        <v>1.41</v>
      </c>
      <c r="H277" s="95" t="n">
        <v>0.07</v>
      </c>
      <c r="I277" s="95" t="n">
        <v>10.33</v>
      </c>
      <c r="J277" s="96" t="n">
        <v>0.22</v>
      </c>
      <c r="K277" s="95" t="n">
        <f>I277*(1+J277)</f>
        <v>12.6026</v>
      </c>
      <c r="L277" s="96" t="n">
        <v>0.3</v>
      </c>
      <c r="M277" s="95" t="n">
        <f>K277*(1+L277)</f>
        <v>16.383380000000002</v>
      </c>
      <c r="N277" t="str">
        <v>CAMICON · Quito</v>
      </c>
      <c r="O277" t="str">
        <v>Octubre–diciembre 2025</v>
      </c>
      <c r="P277" s="97" t="str">
        <v>REFERENCIAL QUITO · utilidad 30% provisional</v>
      </c>
      <c r="Q277" t="str">
        <v>INSTALACIONES HIDROSANITARIAS Y CONDUCCIONES: AGUA POTABLE</v>
      </c>
      <c r="R277" t="str">
        <v>tuberia acero inoxidable d= 1"</v>
      </c>
    </row>
    <row r="278">
      <c r="A278" t="str">
        <v>CAM-0273</v>
      </c>
      <c r="B278" t="str">
        <v>OBRA CIVIL</v>
      </c>
      <c r="C278" t="str">
        <v>13,0106</v>
      </c>
      <c r="D278" s="97" t="str">
        <v>TUBERÍA ACERO INOXIDABLE D= 1-1/4"</v>
      </c>
      <c r="E278" t="str">
        <v>mtl</v>
      </c>
      <c r="F278" s="95" t="n">
        <v>16.34</v>
      </c>
      <c r="G278" s="95" t="n">
        <v>1.9</v>
      </c>
      <c r="H278" s="95" t="n">
        <v>0.1</v>
      </c>
      <c r="I278" s="95" t="n">
        <v>18.34</v>
      </c>
      <c r="J278" s="96" t="n">
        <v>0.22</v>
      </c>
      <c r="K278" s="95" t="n">
        <f>I278*(1+J278)</f>
        <v>22.3748</v>
      </c>
      <c r="L278" s="96" t="n">
        <v>0.3</v>
      </c>
      <c r="M278" s="95" t="n">
        <f>K278*(1+L278)</f>
        <v>29.08724</v>
      </c>
      <c r="N278" t="str">
        <v>CAMICON · Quito</v>
      </c>
      <c r="O278" t="str">
        <v>Octubre–diciembre 2025</v>
      </c>
      <c r="P278" s="97" t="str">
        <v>REFERENCIAL QUITO · utilidad 30% provisional</v>
      </c>
      <c r="Q278" t="str">
        <v>INSTALACIONES HIDROSANITARIAS Y CONDUCCIONES: AGUA POTABLE</v>
      </c>
      <c r="R278" t="str">
        <v>tuberia acero inoxidable d= 1-1/4"</v>
      </c>
    </row>
    <row r="279">
      <c r="A279" t="str">
        <v>CAM-0274</v>
      </c>
      <c r="B279" t="str">
        <v>OBRA CIVIL</v>
      </c>
      <c r="C279" t="str">
        <v>13,0107</v>
      </c>
      <c r="D279" s="97" t="str">
        <v>TUBERÍA ACERO INOXIDABLE D= 1-1/2"</v>
      </c>
      <c r="E279" t="str">
        <v>mtl</v>
      </c>
      <c r="F279" s="95" t="n">
        <v>23.29</v>
      </c>
      <c r="G279" s="95" t="n">
        <v>1.9</v>
      </c>
      <c r="H279" s="95" t="n">
        <v>0.1</v>
      </c>
      <c r="I279" s="95" t="n">
        <v>25.29</v>
      </c>
      <c r="J279" s="96" t="n">
        <v>0.22</v>
      </c>
      <c r="K279" s="95" t="n">
        <f>I279*(1+J279)</f>
        <v>30.8538</v>
      </c>
      <c r="L279" s="96" t="n">
        <v>0.3</v>
      </c>
      <c r="M279" s="95" t="n">
        <f>K279*(1+L279)</f>
        <v>40.10994</v>
      </c>
      <c r="N279" t="str">
        <v>CAMICON · Quito</v>
      </c>
      <c r="O279" t="str">
        <v>Octubre–diciembre 2025</v>
      </c>
      <c r="P279" s="97" t="str">
        <v>REFERENCIAL QUITO · utilidad 30% provisional</v>
      </c>
      <c r="Q279" t="str">
        <v>INSTALACIONES HIDROSANITARIAS Y CONDUCCIONES: AGUA POTABLE</v>
      </c>
      <c r="R279" t="str">
        <v>tuberia acero inoxidable d= 1-1/2"</v>
      </c>
    </row>
    <row r="280">
      <c r="A280" t="str">
        <v>CAM-0275</v>
      </c>
      <c r="B280" t="str">
        <v>OBRA CIVIL</v>
      </c>
      <c r="C280" t="str">
        <v>13,0201</v>
      </c>
      <c r="D280" s="97" t="str">
        <v>PUNTO DE AGUA COBRE TIPO L 1"</v>
      </c>
      <c r="E280" t="str">
        <v>pto</v>
      </c>
      <c r="F280" s="95" t="n">
        <v>57.41</v>
      </c>
      <c r="G280" s="95" t="n">
        <v>19.78</v>
      </c>
      <c r="H280" s="95" t="n">
        <v>2.53</v>
      </c>
      <c r="I280" s="95" t="n">
        <v>79.72</v>
      </c>
      <c r="J280" s="96" t="n">
        <v>0.22</v>
      </c>
      <c r="K280" s="95" t="n">
        <f>I280*(1+J280)</f>
        <v>97.2584</v>
      </c>
      <c r="L280" s="96" t="n">
        <v>0.3</v>
      </c>
      <c r="M280" s="95" t="n">
        <f>K280*(1+L280)</f>
        <v>126.43592</v>
      </c>
      <c r="N280" t="str">
        <v>CAMICON · Quito</v>
      </c>
      <c r="O280" t="str">
        <v>Octubre–diciembre 2025</v>
      </c>
      <c r="P280" s="97" t="str">
        <v>REFERENCIAL QUITO · utilidad 30% provisional</v>
      </c>
      <c r="Q280" t="str">
        <v>INSTALACIONES HIDROSANITARIAS Y CONDUCCIONES: AGUA POTABLE</v>
      </c>
      <c r="R280" t="str">
        <v>punto de agua cobre tipo l 1"</v>
      </c>
    </row>
    <row r="281">
      <c r="A281" t="str">
        <v>CAM-0276</v>
      </c>
      <c r="B281" t="str">
        <v>OBRA CIVIL</v>
      </c>
      <c r="C281" t="str">
        <v>13,0202</v>
      </c>
      <c r="D281" s="97" t="str">
        <v>PUNTO DE AGUA COBRE TIPO L 2"</v>
      </c>
      <c r="E281" t="str">
        <v>pto</v>
      </c>
      <c r="F281" s="95" t="n">
        <v>147.29</v>
      </c>
      <c r="G281" s="95" t="n">
        <v>21.56</v>
      </c>
      <c r="H281" s="95" t="n">
        <v>2.76</v>
      </c>
      <c r="I281" s="95" t="n">
        <v>171.61</v>
      </c>
      <c r="J281" s="96" t="n">
        <v>0.22</v>
      </c>
      <c r="K281" s="95" t="n">
        <f>I281*(1+J281)</f>
        <v>209.3642</v>
      </c>
      <c r="L281" s="96" t="n">
        <v>0.3</v>
      </c>
      <c r="M281" s="95" t="n">
        <f>K281*(1+L281)</f>
        <v>272.17346000000003</v>
      </c>
      <c r="N281" t="str">
        <v>CAMICON · Quito</v>
      </c>
      <c r="O281" t="str">
        <v>Octubre–diciembre 2025</v>
      </c>
      <c r="P281" s="97" t="str">
        <v>REFERENCIAL QUITO · utilidad 30% provisional</v>
      </c>
      <c r="Q281" t="str">
        <v>INSTALACIONES HIDROSANITARIAS Y CONDUCCIONES: AGUA POTABLE</v>
      </c>
      <c r="R281" t="str">
        <v>punto de agua cobre tipo l 2"</v>
      </c>
    </row>
    <row r="282">
      <c r="A282" t="str">
        <v>CAM-0277</v>
      </c>
      <c r="B282" t="str">
        <v>OBRA CIVIL</v>
      </c>
      <c r="C282" t="str">
        <v>13,0203</v>
      </c>
      <c r="D282" s="97" t="str">
        <v>PUNTO DE AGUA COBRE TIPO M 1/2"</v>
      </c>
      <c r="E282" t="str">
        <v>pto</v>
      </c>
      <c r="F282" s="95" t="n">
        <v>17.55</v>
      </c>
      <c r="G282" s="95" t="n">
        <v>17.62</v>
      </c>
      <c r="H282" s="95" t="n">
        <v>2.21</v>
      </c>
      <c r="I282" s="95" t="n">
        <v>37.38</v>
      </c>
      <c r="J282" s="96" t="n">
        <v>0.22</v>
      </c>
      <c r="K282" s="95" t="n">
        <f>I282*(1+J282)</f>
        <v>45.6036</v>
      </c>
      <c r="L282" s="96" t="n">
        <v>0.3</v>
      </c>
      <c r="M282" s="95" t="n">
        <f>K282*(1+L282)</f>
        <v>59.28468</v>
      </c>
      <c r="N282" t="str">
        <v>CAMICON · Quito</v>
      </c>
      <c r="O282" t="str">
        <v>Octubre–diciembre 2025</v>
      </c>
      <c r="P282" s="97" t="str">
        <v>REFERENCIAL QUITO · utilidad 30% provisional</v>
      </c>
      <c r="Q282" t="str">
        <v>INSTALACIONES HIDROSANITARIAS Y CONDUCCIONES: AGUA POTABLE</v>
      </c>
      <c r="R282" t="str">
        <v>punto de agua cobre tipo m 1/2"</v>
      </c>
    </row>
    <row r="283">
      <c r="A283" t="str">
        <v>CAM-0278</v>
      </c>
      <c r="B283" t="str">
        <v>OBRA CIVIL</v>
      </c>
      <c r="C283" t="str">
        <v>13,0204</v>
      </c>
      <c r="D283" s="97" t="str">
        <v>PUNTO DE AGUA COBRE TIPO M 3/4"</v>
      </c>
      <c r="E283" t="str">
        <v>pto</v>
      </c>
      <c r="F283" s="95" t="n">
        <v>26.96</v>
      </c>
      <c r="G283" s="95" t="n">
        <v>18.55</v>
      </c>
      <c r="H283" s="95" t="n">
        <v>2.33</v>
      </c>
      <c r="I283" s="95" t="n">
        <v>47.84</v>
      </c>
      <c r="J283" s="96" t="n">
        <v>0.22</v>
      </c>
      <c r="K283" s="95" t="n">
        <f>I283*(1+J283)</f>
        <v>58.3648</v>
      </c>
      <c r="L283" s="96" t="n">
        <v>0.3</v>
      </c>
      <c r="M283" s="95" t="n">
        <f>K283*(1+L283)</f>
        <v>75.87424</v>
      </c>
      <c r="N283" t="str">
        <v>CAMICON · Quito</v>
      </c>
      <c r="O283" t="str">
        <v>Octubre–diciembre 2025</v>
      </c>
      <c r="P283" s="97" t="str">
        <v>REFERENCIAL QUITO · utilidad 30% provisional</v>
      </c>
      <c r="Q283" t="str">
        <v>INSTALACIONES HIDROSANITARIAS Y CONDUCCIONES: AGUA POTABLE</v>
      </c>
      <c r="R283" t="str">
        <v>punto de agua cobre tipo m 3/4"</v>
      </c>
    </row>
    <row r="284">
      <c r="A284" t="str">
        <v>CAM-0279</v>
      </c>
      <c r="B284" t="str">
        <v>OBRA CIVIL</v>
      </c>
      <c r="C284" t="str">
        <v>13,0205</v>
      </c>
      <c r="D284" s="97" t="str">
        <v>TUBERÍA DE COBRE TIPO M DE 1/2", INC. ACCESORIOS</v>
      </c>
      <c r="E284" t="str">
        <v>mtl</v>
      </c>
      <c r="F284" s="95" t="n">
        <v>4.8</v>
      </c>
      <c r="G284" s="95" t="n">
        <v>2.17</v>
      </c>
      <c r="H284" s="95" t="n">
        <v>0.15</v>
      </c>
      <c r="I284" s="95" t="n">
        <v>7.12</v>
      </c>
      <c r="J284" s="96" t="n">
        <v>0.22</v>
      </c>
      <c r="K284" s="95" t="n">
        <f>I284*(1+J284)</f>
        <v>8.6864</v>
      </c>
      <c r="L284" s="96" t="n">
        <v>0.3</v>
      </c>
      <c r="M284" s="95" t="n">
        <f>K284*(1+L284)</f>
        <v>11.292320000000002</v>
      </c>
      <c r="N284" t="str">
        <v>CAMICON · Quito</v>
      </c>
      <c r="O284" t="str">
        <v>Octubre–diciembre 2025</v>
      </c>
      <c r="P284" s="97" t="str">
        <v>REFERENCIAL QUITO · utilidad 30% provisional</v>
      </c>
      <c r="Q284" t="str">
        <v>INSTALACIONES HIDROSANITARIAS Y CONDUCCIONES: AGUA POTABLE</v>
      </c>
      <c r="R284" t="str">
        <v>tuberia de cobre tipo m de 1/2", inc. accesorios</v>
      </c>
    </row>
    <row r="285">
      <c r="A285" t="str">
        <v>CAM-0280</v>
      </c>
      <c r="B285" t="str">
        <v>OBRA CIVIL</v>
      </c>
      <c r="C285" t="str">
        <v>13,0206</v>
      </c>
      <c r="D285" s="97" t="str">
        <v>TUBERÍA DE COBRE TIPO M DE 3/4", INC. ACCESORIOS</v>
      </c>
      <c r="E285" t="str">
        <v>mtl</v>
      </c>
      <c r="F285" s="95" t="n">
        <v>7.43</v>
      </c>
      <c r="G285" s="95" t="n">
        <v>3.02</v>
      </c>
      <c r="H285" s="95" t="n">
        <v>0.21</v>
      </c>
      <c r="I285" s="95" t="n">
        <v>10.66</v>
      </c>
      <c r="J285" s="96" t="n">
        <v>0.22</v>
      </c>
      <c r="K285" s="95" t="n">
        <f>I285*(1+J285)</f>
        <v>13.0052</v>
      </c>
      <c r="L285" s="96" t="n">
        <v>0.3</v>
      </c>
      <c r="M285" s="95" t="n">
        <f>K285*(1+L285)</f>
        <v>16.906760000000002</v>
      </c>
      <c r="N285" t="str">
        <v>CAMICON · Quito</v>
      </c>
      <c r="O285" t="str">
        <v>Octubre–diciembre 2025</v>
      </c>
      <c r="P285" s="97" t="str">
        <v>REFERENCIAL QUITO · utilidad 30% provisional</v>
      </c>
      <c r="Q285" t="str">
        <v>INSTALACIONES HIDROSANITARIAS Y CONDUCCIONES: AGUA POTABLE</v>
      </c>
      <c r="R285" t="str">
        <v>tuberia de cobre tipo m de 3/4", inc. accesorios</v>
      </c>
    </row>
    <row r="286">
      <c r="A286" t="str">
        <v>CAM-0281</v>
      </c>
      <c r="B286" t="str">
        <v>OBRA CIVIL</v>
      </c>
      <c r="C286" t="str">
        <v>13,0207</v>
      </c>
      <c r="D286" s="97" t="str">
        <v>TUBERÍA DE COBRE TIPO M DE 1", INC. ACCESORIOS</v>
      </c>
      <c r="E286" t="str">
        <v>mtl</v>
      </c>
      <c r="F286" s="95" t="n">
        <v>10.62</v>
      </c>
      <c r="G286" s="95" t="n">
        <v>3.4</v>
      </c>
      <c r="H286" s="95" t="n">
        <v>0.23</v>
      </c>
      <c r="I286" s="95" t="n">
        <v>14.25</v>
      </c>
      <c r="J286" s="96" t="n">
        <v>0.22</v>
      </c>
      <c r="K286" s="95" t="n">
        <f>I286*(1+J286)</f>
        <v>17.384999999999998</v>
      </c>
      <c r="L286" s="96" t="n">
        <v>0.3</v>
      </c>
      <c r="M286" s="95" t="n">
        <f>K286*(1+L286)</f>
        <v>22.600499999999997</v>
      </c>
      <c r="N286" t="str">
        <v>CAMICON · Quito</v>
      </c>
      <c r="O286" t="str">
        <v>Octubre–diciembre 2025</v>
      </c>
      <c r="P286" s="97" t="str">
        <v>REFERENCIAL QUITO · utilidad 30% provisional</v>
      </c>
      <c r="Q286" t="str">
        <v>INSTALACIONES HIDROSANITARIAS Y CONDUCCIONES: AGUA POTABLE</v>
      </c>
      <c r="R286" t="str">
        <v>tuberia de cobre tipo m de 1", inc. accesorios</v>
      </c>
    </row>
    <row r="287">
      <c r="A287" t="str">
        <v>CAM-0282</v>
      </c>
      <c r="B287" t="str">
        <v>OBRA CIVIL</v>
      </c>
      <c r="C287" t="str">
        <v>13,0208</v>
      </c>
      <c r="D287" s="97" t="str">
        <v>TUBERÍA DE COBRE TIPO M DE 1-1/4" ,INC. ACCESORIOS</v>
      </c>
      <c r="E287" t="str">
        <v>mtl</v>
      </c>
      <c r="F287" s="95" t="n">
        <v>15.78</v>
      </c>
      <c r="G287" s="95" t="n">
        <v>3.78</v>
      </c>
      <c r="H287" s="95" t="n">
        <v>0.26</v>
      </c>
      <c r="I287" s="95" t="n">
        <v>19.82</v>
      </c>
      <c r="J287" s="96" t="n">
        <v>0.22</v>
      </c>
      <c r="K287" s="95" t="n">
        <f>I287*(1+J287)</f>
        <v>24.1804</v>
      </c>
      <c r="L287" s="96" t="n">
        <v>0.3</v>
      </c>
      <c r="M287" s="95" t="n">
        <f>K287*(1+L287)</f>
        <v>31.43452</v>
      </c>
      <c r="N287" t="str">
        <v>CAMICON · Quito</v>
      </c>
      <c r="O287" t="str">
        <v>Octubre–diciembre 2025</v>
      </c>
      <c r="P287" s="97" t="str">
        <v>REFERENCIAL QUITO · utilidad 30% provisional</v>
      </c>
      <c r="Q287" t="str">
        <v>INSTALACIONES HIDROSANITARIAS Y CONDUCCIONES: AGUA POTABLE</v>
      </c>
      <c r="R287" t="str">
        <v>tuberia de cobre tipo m de 1-1/4" ,inc. accesorios</v>
      </c>
    </row>
    <row r="288">
      <c r="A288" t="str">
        <v>CAM-0283</v>
      </c>
      <c r="B288" t="str">
        <v>OBRA CIVIL</v>
      </c>
      <c r="C288" t="str">
        <v>13,0209</v>
      </c>
      <c r="D288" s="97" t="str">
        <v>TUBERÍA DE COBRE TIPO M DE 1-1/2" ,INC. ACCESORIOS</v>
      </c>
      <c r="E288" t="str">
        <v>mtl</v>
      </c>
      <c r="F288" s="95" t="n">
        <v>20.2</v>
      </c>
      <c r="G288" s="95" t="n">
        <v>3.78</v>
      </c>
      <c r="H288" s="95" t="n">
        <v>0.26</v>
      </c>
      <c r="I288" s="95" t="n">
        <v>24.24</v>
      </c>
      <c r="J288" s="96" t="n">
        <v>0.22</v>
      </c>
      <c r="K288" s="95" t="n">
        <f>I288*(1+J288)</f>
        <v>29.572799999999997</v>
      </c>
      <c r="L288" s="96" t="n">
        <v>0.3</v>
      </c>
      <c r="M288" s="95" t="n">
        <f>K288*(1+L288)</f>
        <v>38.44464</v>
      </c>
      <c r="N288" t="str">
        <v>CAMICON · Quito</v>
      </c>
      <c r="O288" t="str">
        <v>Octubre–diciembre 2025</v>
      </c>
      <c r="P288" s="97" t="str">
        <v>REFERENCIAL QUITO · utilidad 30% provisional</v>
      </c>
      <c r="Q288" t="str">
        <v>INSTALACIONES HIDROSANITARIAS Y CONDUCCIONES: AGUA POTABLE</v>
      </c>
      <c r="R288" t="str">
        <v>tuberia de cobre tipo m de 1-1/2" ,inc. accesorios</v>
      </c>
    </row>
    <row r="289">
      <c r="A289" t="str">
        <v>CAM-0284</v>
      </c>
      <c r="B289" t="str">
        <v>OBRA CIVIL</v>
      </c>
      <c r="C289" t="str">
        <v>13,0301</v>
      </c>
      <c r="D289" s="97" t="str">
        <v>PUNTO DE AGUA CALIENTE PVC 1/2" ROSCABLE INC. ACCESORIOS</v>
      </c>
      <c r="E289" t="str">
        <v>pto</v>
      </c>
      <c r="F289" s="95" t="n">
        <v>7.35</v>
      </c>
      <c r="G289" s="95" t="n">
        <v>17.44</v>
      </c>
      <c r="H289" s="95" t="n">
        <v>0.87</v>
      </c>
      <c r="I289" s="95" t="n">
        <v>25.66</v>
      </c>
      <c r="J289" s="96" t="n">
        <v>0.22</v>
      </c>
      <c r="K289" s="95" t="n">
        <f>I289*(1+J289)</f>
        <v>31.3052</v>
      </c>
      <c r="L289" s="96" t="n">
        <v>0.3</v>
      </c>
      <c r="M289" s="95" t="n">
        <f>K289*(1+L289)</f>
        <v>40.69676</v>
      </c>
      <c r="N289" t="str">
        <v>CAMICON · Quito</v>
      </c>
      <c r="O289" t="str">
        <v>Octubre–diciembre 2025</v>
      </c>
      <c r="P289" s="97" t="str">
        <v>REFERENCIAL QUITO · utilidad 30% provisional</v>
      </c>
      <c r="Q289" t="str">
        <v>INSTALACIONES HIDROSANITARIAS Y CONDUCCIONES: AGUA POTABLE</v>
      </c>
      <c r="R289" t="str">
        <v>punto de agua caliente pvc 1/2" roscable inc. accesorios</v>
      </c>
    </row>
    <row r="290">
      <c r="A290" t="str">
        <v>CAM-0285</v>
      </c>
      <c r="B290" t="str">
        <v>OBRA CIVIL</v>
      </c>
      <c r="C290" t="str">
        <v>13,0302</v>
      </c>
      <c r="D290" s="97" t="str">
        <v>PUNTO DE AGUA CALIENTE PVC 3/4" ROSCABLE INC. ACCESORIOS</v>
      </c>
      <c r="E290" t="str">
        <v>pto</v>
      </c>
      <c r="F290" s="95" t="n">
        <v>11.15</v>
      </c>
      <c r="G290" s="95" t="n">
        <v>17.97</v>
      </c>
      <c r="H290" s="95" t="n">
        <v>0.9</v>
      </c>
      <c r="I290" s="95" t="n">
        <v>30.02</v>
      </c>
      <c r="J290" s="96" t="n">
        <v>0.22</v>
      </c>
      <c r="K290" s="95" t="n">
        <f>I290*(1+J290)</f>
        <v>36.6244</v>
      </c>
      <c r="L290" s="96" t="n">
        <v>0.3</v>
      </c>
      <c r="M290" s="95" t="n">
        <f>K290*(1+L290)</f>
        <v>47.611720000000005</v>
      </c>
      <c r="N290" t="str">
        <v>CAMICON · Quito</v>
      </c>
      <c r="O290" t="str">
        <v>Octubre–diciembre 2025</v>
      </c>
      <c r="P290" s="97" t="str">
        <v>REFERENCIAL QUITO · utilidad 30% provisional</v>
      </c>
      <c r="Q290" t="str">
        <v>INSTALACIONES HIDROSANITARIAS Y CONDUCCIONES: AGUA POTABLE</v>
      </c>
      <c r="R290" t="str">
        <v>punto de agua caliente pvc 3/4" roscable inc. accesorios</v>
      </c>
    </row>
    <row r="291">
      <c r="A291" t="str">
        <v>CAM-0286</v>
      </c>
      <c r="B291" t="str">
        <v>OBRA CIVIL</v>
      </c>
      <c r="C291" t="str">
        <v>13,0303</v>
      </c>
      <c r="D291" s="97" t="str">
        <v>PUNTO DE AGUA FRÍA PVC 1/2" ROSCABLE INC. ACCESORIOS</v>
      </c>
      <c r="E291" t="str">
        <v>pto</v>
      </c>
      <c r="F291" s="95" t="n">
        <v>5.57</v>
      </c>
      <c r="G291" s="95" t="n">
        <v>17.44</v>
      </c>
      <c r="H291" s="95" t="n">
        <v>0.87</v>
      </c>
      <c r="I291" s="95" t="n">
        <v>23.88</v>
      </c>
      <c r="J291" s="96" t="n">
        <v>0.22</v>
      </c>
      <c r="K291" s="95" t="n">
        <f>I291*(1+J291)</f>
        <v>29.133599999999998</v>
      </c>
      <c r="L291" s="96" t="n">
        <v>0.3</v>
      </c>
      <c r="M291" s="95" t="n">
        <f>K291*(1+L291)</f>
        <v>37.87368</v>
      </c>
      <c r="N291" t="str">
        <v>CAMICON · Quito</v>
      </c>
      <c r="O291" t="str">
        <v>Octubre–diciembre 2025</v>
      </c>
      <c r="P291" s="97" t="str">
        <v>REFERENCIAL QUITO · utilidad 30% provisional</v>
      </c>
      <c r="Q291" t="str">
        <v>INSTALACIONES HIDROSANITARIAS Y CONDUCCIONES: AGUA POTABLE</v>
      </c>
      <c r="R291" t="str">
        <v>punto de agua fria pvc 1/2" roscable inc. accesorios</v>
      </c>
    </row>
    <row r="292">
      <c r="A292" t="str">
        <v>CAM-0287</v>
      </c>
      <c r="B292" t="str">
        <v>OBRA CIVIL</v>
      </c>
      <c r="C292" t="str">
        <v>13,0304</v>
      </c>
      <c r="D292" s="97" t="str">
        <v>PUNTO DE AGUA FRÍA PVC 3/4" ROSCABLE INC. ACCESORIOS</v>
      </c>
      <c r="E292" t="str">
        <v>pto</v>
      </c>
      <c r="F292" s="95" t="n">
        <v>9.47</v>
      </c>
      <c r="G292" s="95" t="n">
        <v>17.97</v>
      </c>
      <c r="H292" s="95" t="n">
        <v>0.9</v>
      </c>
      <c r="I292" s="95" t="n">
        <v>28.34</v>
      </c>
      <c r="J292" s="96" t="n">
        <v>0.22</v>
      </c>
      <c r="K292" s="95" t="n">
        <f>I292*(1+J292)</f>
        <v>34.574799999999996</v>
      </c>
      <c r="L292" s="96" t="n">
        <v>0.3</v>
      </c>
      <c r="M292" s="95" t="n">
        <f>K292*(1+L292)</f>
        <v>44.947239999999994</v>
      </c>
      <c r="N292" t="str">
        <v>CAMICON · Quito</v>
      </c>
      <c r="O292" t="str">
        <v>Octubre–diciembre 2025</v>
      </c>
      <c r="P292" s="97" t="str">
        <v>REFERENCIAL QUITO · utilidad 30% provisional</v>
      </c>
      <c r="Q292" t="str">
        <v>INSTALACIONES HIDROSANITARIAS Y CONDUCCIONES: AGUA POTABLE</v>
      </c>
      <c r="R292" t="str">
        <v>punto de agua fria pvc 3/4" roscable inc. accesorios</v>
      </c>
    </row>
    <row r="293">
      <c r="A293" t="str">
        <v>CAM-0288</v>
      </c>
      <c r="B293" t="str">
        <v>OBRA CIVIL</v>
      </c>
      <c r="C293" t="str">
        <v>13,0305</v>
      </c>
      <c r="D293" s="97" t="str">
        <v>TUBERÍA PVC 1/2" ROSCABLE AGUA CALIENTE, INC. ACCESORIOS</v>
      </c>
      <c r="E293" t="str">
        <v>mtl</v>
      </c>
      <c r="F293" s="95" t="n">
        <v>1.91</v>
      </c>
      <c r="G293" s="95" t="n">
        <v>1.81</v>
      </c>
      <c r="H293" s="95" t="n">
        <v>0.09</v>
      </c>
      <c r="I293" s="95" t="n">
        <v>3.81</v>
      </c>
      <c r="J293" s="96" t="n">
        <v>0.22</v>
      </c>
      <c r="K293" s="95" t="n">
        <f>I293*(1+J293)</f>
        <v>4.6482</v>
      </c>
      <c r="L293" s="96" t="n">
        <v>0.3</v>
      </c>
      <c r="M293" s="95" t="n">
        <f>K293*(1+L293)</f>
        <v>6.042660000000001</v>
      </c>
      <c r="N293" t="str">
        <v>CAMICON · Quito</v>
      </c>
      <c r="O293" t="str">
        <v>Octubre–diciembre 2025</v>
      </c>
      <c r="P293" s="97" t="str">
        <v>REFERENCIAL QUITO · utilidad 30% provisional</v>
      </c>
      <c r="Q293" t="str">
        <v>INSTALACIONES HIDROSANITARIAS Y CONDUCCIONES: AGUA POTABLE</v>
      </c>
      <c r="R293" t="str">
        <v>tuberia pvc 1/2" roscable agua caliente, inc. accesorios</v>
      </c>
    </row>
    <row r="294">
      <c r="A294" t="str">
        <v>CAM-0289</v>
      </c>
      <c r="B294" t="str">
        <v>OBRA CIVIL</v>
      </c>
      <c r="C294" t="str">
        <v>13,0306</v>
      </c>
      <c r="D294" s="97" t="str">
        <v>TUBERÍA PVC 3/4" ROSCABLE AGUA CALIENTE, INC. ACCESORIOS</v>
      </c>
      <c r="E294" t="str">
        <v>mtl</v>
      </c>
      <c r="F294" s="95" t="n">
        <v>2.78</v>
      </c>
      <c r="G294" s="95" t="n">
        <v>1.81</v>
      </c>
      <c r="H294" s="95" t="n">
        <v>0.09</v>
      </c>
      <c r="I294" s="95" t="n">
        <v>4.68</v>
      </c>
      <c r="J294" s="96" t="n">
        <v>0.22</v>
      </c>
      <c r="K294" s="95" t="n">
        <f>I294*(1+J294)</f>
        <v>5.709599999999999</v>
      </c>
      <c r="L294" s="96" t="n">
        <v>0.3</v>
      </c>
      <c r="M294" s="95" t="n">
        <f>K294*(1+L294)</f>
        <v>7.422479999999999</v>
      </c>
      <c r="N294" t="str">
        <v>CAMICON · Quito</v>
      </c>
      <c r="O294" t="str">
        <v>Octubre–diciembre 2025</v>
      </c>
      <c r="P294" s="97" t="str">
        <v>REFERENCIAL QUITO · utilidad 30% provisional</v>
      </c>
      <c r="Q294" t="str">
        <v>INSTALACIONES HIDROSANITARIAS Y CONDUCCIONES: AGUA POTABLE</v>
      </c>
      <c r="R294" t="str">
        <v>tuberia pvc 3/4" roscable agua caliente, inc. accesorios</v>
      </c>
    </row>
    <row r="295">
      <c r="A295" t="str">
        <v>CAM-0290</v>
      </c>
      <c r="B295" t="str">
        <v>OBRA CIVIL</v>
      </c>
      <c r="C295" t="str">
        <v>13,0307</v>
      </c>
      <c r="D295" s="97" t="str">
        <v>TUBERÍA PVC 1/2" ROSCABLE AGUA FRÍA,INC. ACCESORIOS</v>
      </c>
      <c r="E295" t="str">
        <v>mtl</v>
      </c>
      <c r="F295" s="95" t="n">
        <v>1.37</v>
      </c>
      <c r="G295" s="95" t="n">
        <v>1.81</v>
      </c>
      <c r="H295" s="95" t="n">
        <v>0.09</v>
      </c>
      <c r="I295" s="95" t="n">
        <v>3.27</v>
      </c>
      <c r="J295" s="96" t="n">
        <v>0.22</v>
      </c>
      <c r="K295" s="95" t="n">
        <f>I295*(1+J295)</f>
        <v>3.9894</v>
      </c>
      <c r="L295" s="96" t="n">
        <v>0.3</v>
      </c>
      <c r="M295" s="95" t="n">
        <f>K295*(1+L295)</f>
        <v>5.18622</v>
      </c>
      <c r="N295" t="str">
        <v>CAMICON · Quito</v>
      </c>
      <c r="O295" t="str">
        <v>Octubre–diciembre 2025</v>
      </c>
      <c r="P295" s="97" t="str">
        <v>REFERENCIAL QUITO · utilidad 30% provisional</v>
      </c>
      <c r="Q295" t="str">
        <v>INSTALACIONES HIDROSANITARIAS Y CONDUCCIONES: AGUA POTABLE</v>
      </c>
      <c r="R295" t="str">
        <v>tuberia pvc 1/2" roscable agua fria,inc. accesorios</v>
      </c>
    </row>
    <row r="296">
      <c r="A296" t="str">
        <v>CAM-0291</v>
      </c>
      <c r="B296" t="str">
        <v>OBRA CIVIL</v>
      </c>
      <c r="C296" t="str">
        <v>13,0308</v>
      </c>
      <c r="D296" s="97" t="str">
        <v>TUBERÍA PVC 3/4" ROSCABLE AGUA FRÍA ,INC. ACCESORIOS</v>
      </c>
      <c r="E296" t="str">
        <v>mtl</v>
      </c>
      <c r="F296" s="95" t="n">
        <v>2.26</v>
      </c>
      <c r="G296" s="95" t="n">
        <v>1.81</v>
      </c>
      <c r="H296" s="95" t="n">
        <v>0.09</v>
      </c>
      <c r="I296" s="95" t="n">
        <v>4.16</v>
      </c>
      <c r="J296" s="96" t="n">
        <v>0.22</v>
      </c>
      <c r="K296" s="95" t="n">
        <f>I296*(1+J296)</f>
        <v>5.0752</v>
      </c>
      <c r="L296" s="96" t="n">
        <v>0.3</v>
      </c>
      <c r="M296" s="95" t="n">
        <f>K296*(1+L296)</f>
        <v>6.59776</v>
      </c>
      <c r="N296" t="str">
        <v>CAMICON · Quito</v>
      </c>
      <c r="O296" t="str">
        <v>Octubre–diciembre 2025</v>
      </c>
      <c r="P296" s="97" t="str">
        <v>REFERENCIAL QUITO · utilidad 30% provisional</v>
      </c>
      <c r="Q296" t="str">
        <v>INSTALACIONES HIDROSANITARIAS Y CONDUCCIONES: AGUA POTABLE</v>
      </c>
      <c r="R296" t="str">
        <v>tuberia pvc 3/4" roscable agua fria ,inc. accesorios</v>
      </c>
    </row>
    <row r="297">
      <c r="A297" t="str">
        <v>CAM-0292</v>
      </c>
      <c r="B297" t="str">
        <v>OBRA CIVIL</v>
      </c>
      <c r="C297" t="str">
        <v>13,0401</v>
      </c>
      <c r="D297" s="97" t="str">
        <v>TUBERÍA PVC E/C 25 MM 1.00 MPA</v>
      </c>
      <c r="E297" t="str">
        <v>mtl</v>
      </c>
      <c r="F297" s="95" t="n">
        <v>2.14</v>
      </c>
      <c r="G297" s="95" t="n">
        <v>0.36</v>
      </c>
      <c r="H297" s="95" t="n">
        <v>0.02</v>
      </c>
      <c r="I297" s="95" t="n">
        <v>2.52</v>
      </c>
      <c r="J297" s="96" t="n">
        <v>0.22</v>
      </c>
      <c r="K297" s="95" t="n">
        <f>I297*(1+J297)</f>
        <v>3.0744</v>
      </c>
      <c r="L297" s="96" t="n">
        <v>0.3</v>
      </c>
      <c r="M297" s="95" t="n">
        <f>K297*(1+L297)</f>
        <v>3.99672</v>
      </c>
      <c r="N297" t="str">
        <v>CAMICON · Quito</v>
      </c>
      <c r="O297" t="str">
        <v>Octubre–diciembre 2025</v>
      </c>
      <c r="P297" s="97" t="str">
        <v>REFERENCIAL QUITO · utilidad 30% provisional</v>
      </c>
      <c r="Q297" t="str">
        <v>INSTALACIONES HIDROSANITARIAS Y CONDUCCIONES: AGUA POTABLE</v>
      </c>
      <c r="R297" t="str">
        <v>tuberia pvc e/c 25 mm 1.00 mpa</v>
      </c>
    </row>
    <row r="298">
      <c r="A298" t="str">
        <v>CAM-0293</v>
      </c>
      <c r="B298" t="str">
        <v>OBRA CIVIL</v>
      </c>
      <c r="C298" t="str">
        <v>13,0402</v>
      </c>
      <c r="D298" s="97" t="str">
        <v>TUBERÍA PVC E/C 32 MM 1.25 MPA</v>
      </c>
      <c r="E298" t="str">
        <v>mtl</v>
      </c>
      <c r="F298" s="95" t="n">
        <v>2.94</v>
      </c>
      <c r="G298" s="95" t="n">
        <v>0.36</v>
      </c>
      <c r="H298" s="95" t="n">
        <v>0.02</v>
      </c>
      <c r="I298" s="95" t="n">
        <v>3.32</v>
      </c>
      <c r="J298" s="96" t="n">
        <v>0.22</v>
      </c>
      <c r="K298" s="95" t="n">
        <f>I298*(1+J298)</f>
        <v>4.0504</v>
      </c>
      <c r="L298" s="96" t="n">
        <v>0.3</v>
      </c>
      <c r="M298" s="95" t="n">
        <f>K298*(1+L298)</f>
        <v>5.2655199999999995</v>
      </c>
      <c r="N298" t="str">
        <v>CAMICON · Quito</v>
      </c>
      <c r="O298" t="str">
        <v>Octubre–diciembre 2025</v>
      </c>
      <c r="P298" s="97" t="str">
        <v>REFERENCIAL QUITO · utilidad 30% provisional</v>
      </c>
      <c r="Q298" t="str">
        <v>INSTALACIONES HIDROSANITARIAS Y CONDUCCIONES: AGUA POTABLE</v>
      </c>
      <c r="R298" t="str">
        <v>tuberia pvc e/c 32 mm 1.25 mpa</v>
      </c>
    </row>
    <row r="299">
      <c r="A299" t="str">
        <v>CAM-0294</v>
      </c>
      <c r="B299" t="str">
        <v>OBRA CIVIL</v>
      </c>
      <c r="C299" t="str">
        <v>13,0403</v>
      </c>
      <c r="D299" s="97" t="str">
        <v>TUBERÍA PVC E/C 40 MM 1.25 MPA</v>
      </c>
      <c r="E299" t="str">
        <v>mtl</v>
      </c>
      <c r="F299" s="95" t="n">
        <v>2.7</v>
      </c>
      <c r="G299" s="95" t="n">
        <v>0.36</v>
      </c>
      <c r="H299" s="95" t="n">
        <v>0.02</v>
      </c>
      <c r="I299" s="95" t="n">
        <v>3.08</v>
      </c>
      <c r="J299" s="96" t="n">
        <v>0.22</v>
      </c>
      <c r="K299" s="95" t="n">
        <f>I299*(1+J299)</f>
        <v>3.7576</v>
      </c>
      <c r="L299" s="96" t="n">
        <v>0.3</v>
      </c>
      <c r="M299" s="95" t="n">
        <f>K299*(1+L299)</f>
        <v>4.88488</v>
      </c>
      <c r="N299" t="str">
        <v>CAMICON · Quito</v>
      </c>
      <c r="O299" t="str">
        <v>Octubre–diciembre 2025</v>
      </c>
      <c r="P299" s="97" t="str">
        <v>REFERENCIAL QUITO · utilidad 30% provisional</v>
      </c>
      <c r="Q299" t="str">
        <v>INSTALACIONES HIDROSANITARIAS Y CONDUCCIONES: AGUA POTABLE</v>
      </c>
      <c r="R299" t="str">
        <v>tuberia pvc e/c 40 mm 1.25 mpa</v>
      </c>
    </row>
    <row r="300">
      <c r="A300" t="str">
        <v>CAM-0295</v>
      </c>
      <c r="B300" t="str">
        <v>OBRA CIVIL</v>
      </c>
      <c r="C300" t="str">
        <v>13,0404</v>
      </c>
      <c r="D300" s="97" t="str">
        <v>TUBERÍA PVC E/C 50 MM 1.25 MPA</v>
      </c>
      <c r="E300" t="str">
        <v>mtl</v>
      </c>
      <c r="F300" s="95" t="n">
        <v>3.41</v>
      </c>
      <c r="G300" s="95" t="n">
        <v>0.44</v>
      </c>
      <c r="H300" s="95" t="n">
        <v>0.02</v>
      </c>
      <c r="I300" s="95" t="n">
        <v>3.87</v>
      </c>
      <c r="J300" s="96" t="n">
        <v>0.22</v>
      </c>
      <c r="K300" s="95" t="n">
        <f>I300*(1+J300)</f>
        <v>4.7214</v>
      </c>
      <c r="L300" s="96" t="n">
        <v>0.3</v>
      </c>
      <c r="M300" s="95" t="n">
        <f>K300*(1+L300)</f>
        <v>6.1378200000000005</v>
      </c>
      <c r="N300" t="str">
        <v>CAMICON · Quito</v>
      </c>
      <c r="O300" t="str">
        <v>Octubre–diciembre 2025</v>
      </c>
      <c r="P300" s="97" t="str">
        <v>REFERENCIAL QUITO · utilidad 30% provisional</v>
      </c>
      <c r="Q300" t="str">
        <v>INSTALACIONES HIDROSANITARIAS Y CONDUCCIONES: AGUA POTABLE</v>
      </c>
      <c r="R300" t="str">
        <v>tuberia pvc e/c 50 mm 1.25 mpa</v>
      </c>
    </row>
    <row r="301">
      <c r="A301" t="str">
        <v>CAM-0296</v>
      </c>
      <c r="B301" t="str">
        <v>OBRA CIVIL</v>
      </c>
      <c r="C301" t="str">
        <v>13,0405</v>
      </c>
      <c r="D301" s="97" t="str">
        <v>TUBERÍA PVC E/C 63 MM 1.25 MPA</v>
      </c>
      <c r="E301" t="str">
        <v>mtl</v>
      </c>
      <c r="F301" s="95" t="n">
        <v>4.78</v>
      </c>
      <c r="G301" s="95" t="n">
        <v>0.44</v>
      </c>
      <c r="H301" s="95" t="n">
        <v>0.02</v>
      </c>
      <c r="I301" s="95" t="n">
        <v>5.24</v>
      </c>
      <c r="J301" s="96" t="n">
        <v>0.22</v>
      </c>
      <c r="K301" s="95" t="n">
        <f>I301*(1+J301)</f>
        <v>6.3928</v>
      </c>
      <c r="L301" s="96" t="n">
        <v>0.3</v>
      </c>
      <c r="M301" s="95" t="n">
        <f>K301*(1+L301)</f>
        <v>8.310640000000001</v>
      </c>
      <c r="N301" t="str">
        <v>CAMICON · Quito</v>
      </c>
      <c r="O301" t="str">
        <v>Octubre–diciembre 2025</v>
      </c>
      <c r="P301" s="97" t="str">
        <v>REFERENCIAL QUITO · utilidad 30% provisional</v>
      </c>
      <c r="Q301" t="str">
        <v>INSTALACIONES HIDROSANITARIAS Y CONDUCCIONES: AGUA POTABLE</v>
      </c>
      <c r="R301" t="str">
        <v>tuberia pvc e/c 63 mm 1.25 mpa</v>
      </c>
    </row>
    <row r="302">
      <c r="A302" t="str">
        <v>CAM-0297</v>
      </c>
      <c r="B302" t="str">
        <v>OBRA CIVIL</v>
      </c>
      <c r="C302" t="str">
        <v>13,0406</v>
      </c>
      <c r="D302" s="97" t="str">
        <v>TUBERÍA PVC E/C 75 MM 1.25 MPA</v>
      </c>
      <c r="E302" t="str">
        <v>mtl</v>
      </c>
      <c r="F302" s="95" t="n">
        <v>6.85</v>
      </c>
      <c r="G302" s="95" t="n">
        <v>0.44</v>
      </c>
      <c r="H302" s="95" t="n">
        <v>0.02</v>
      </c>
      <c r="I302" s="95" t="n">
        <v>7.31</v>
      </c>
      <c r="J302" s="96" t="n">
        <v>0.22</v>
      </c>
      <c r="K302" s="95" t="n">
        <f>I302*(1+J302)</f>
        <v>8.918199999999999</v>
      </c>
      <c r="L302" s="96" t="n">
        <v>0.3</v>
      </c>
      <c r="M302" s="95" t="n">
        <f>K302*(1+L302)</f>
        <v>11.593659999999998</v>
      </c>
      <c r="N302" t="str">
        <v>CAMICON · Quito</v>
      </c>
      <c r="O302" t="str">
        <v>Octubre–diciembre 2025</v>
      </c>
      <c r="P302" s="97" t="str">
        <v>REFERENCIAL QUITO · utilidad 30% provisional</v>
      </c>
      <c r="Q302" t="str">
        <v>INSTALACIONES HIDROSANITARIAS Y CONDUCCIONES: AGUA POTABLE</v>
      </c>
      <c r="R302" t="str">
        <v>tuberia pvc e/c 75 mm 1.25 mpa</v>
      </c>
    </row>
    <row r="303">
      <c r="A303" t="str">
        <v>CAM-0298</v>
      </c>
      <c r="B303" t="str">
        <v>OBRA CIVIL</v>
      </c>
      <c r="C303" t="str">
        <v>13,0407</v>
      </c>
      <c r="D303" s="97" t="str">
        <v>TUBERÍA PVC E/C 90 MM 1.25 MPA</v>
      </c>
      <c r="E303" t="str">
        <v>mtl</v>
      </c>
      <c r="F303" s="95" t="n">
        <v>8.5</v>
      </c>
      <c r="G303" s="95" t="n">
        <v>0.63</v>
      </c>
      <c r="H303" s="95" t="n">
        <v>0.03</v>
      </c>
      <c r="I303" s="95" t="n">
        <v>9.16</v>
      </c>
      <c r="J303" s="96" t="n">
        <v>0.22</v>
      </c>
      <c r="K303" s="95" t="n">
        <f>I303*(1+J303)</f>
        <v>11.1752</v>
      </c>
      <c r="L303" s="96" t="n">
        <v>0.3</v>
      </c>
      <c r="M303" s="95" t="n">
        <f>K303*(1+L303)</f>
        <v>14.52776</v>
      </c>
      <c r="N303" t="str">
        <v>CAMICON · Quito</v>
      </c>
      <c r="O303" t="str">
        <v>Octubre–diciembre 2025</v>
      </c>
      <c r="P303" s="97" t="str">
        <v>REFERENCIAL QUITO · utilidad 30% provisional</v>
      </c>
      <c r="Q303" t="str">
        <v>INSTALACIONES HIDROSANITARIAS Y CONDUCCIONES: AGUA POTABLE</v>
      </c>
      <c r="R303" t="str">
        <v>tuberia pvc e/c 90 mm 1.25 mpa</v>
      </c>
    </row>
    <row r="304">
      <c r="A304" t="str">
        <v>CAM-0299</v>
      </c>
      <c r="B304" t="str">
        <v>OBRA CIVIL</v>
      </c>
      <c r="C304" t="str">
        <v>13,0501</v>
      </c>
      <c r="D304" s="97" t="str">
        <v>TUBERÍA PVC U/E 90 MM 1.25 MPA</v>
      </c>
      <c r="E304" t="str">
        <v>mtl</v>
      </c>
      <c r="F304" s="95" t="n">
        <v>8.01</v>
      </c>
      <c r="G304" s="95" t="n">
        <v>0.72</v>
      </c>
      <c r="H304" s="95" t="n">
        <v>0.04</v>
      </c>
      <c r="I304" s="95" t="n">
        <v>8.77</v>
      </c>
      <c r="J304" s="96" t="n">
        <v>0.22</v>
      </c>
      <c r="K304" s="95" t="n">
        <f>I304*(1+J304)</f>
        <v>10.699399999999999</v>
      </c>
      <c r="L304" s="96" t="n">
        <v>0.3</v>
      </c>
      <c r="M304" s="95" t="n">
        <f>K304*(1+L304)</f>
        <v>13.90922</v>
      </c>
      <c r="N304" t="str">
        <v>CAMICON · Quito</v>
      </c>
      <c r="O304" t="str">
        <v>Octubre–diciembre 2025</v>
      </c>
      <c r="P304" s="97" t="str">
        <v>REFERENCIAL QUITO · utilidad 30% provisional</v>
      </c>
      <c r="Q304" t="str">
        <v>INSTALACIONES HIDROSANITARIAS Y CONDUCCIONES: AGUA POTABLE</v>
      </c>
      <c r="R304" t="str">
        <v>tuberia pvc u/e 90 mm 1.25 mpa</v>
      </c>
    </row>
    <row r="305">
      <c r="A305" t="str">
        <v>CAM-0300</v>
      </c>
      <c r="B305" t="str">
        <v>OBRA CIVIL</v>
      </c>
      <c r="C305" t="str">
        <v>13,0502</v>
      </c>
      <c r="D305" s="97" t="str">
        <v>TUBERÍA PVC U/E 110 MM 1.25 MPA</v>
      </c>
      <c r="E305" t="str">
        <v>mtl</v>
      </c>
      <c r="F305" s="95" t="n">
        <v>12.14</v>
      </c>
      <c r="G305" s="95" t="n">
        <v>0.72</v>
      </c>
      <c r="H305" s="95" t="n">
        <v>0.04</v>
      </c>
      <c r="I305" s="95" t="n">
        <v>12.9</v>
      </c>
      <c r="J305" s="96" t="n">
        <v>0.22</v>
      </c>
      <c r="K305" s="95" t="n">
        <f>I305*(1+J305)</f>
        <v>15.738</v>
      </c>
      <c r="L305" s="96" t="n">
        <v>0.3</v>
      </c>
      <c r="M305" s="95" t="n">
        <f>K305*(1+L305)</f>
        <v>20.4594</v>
      </c>
      <c r="N305" t="str">
        <v>CAMICON · Quito</v>
      </c>
      <c r="O305" t="str">
        <v>Octubre–diciembre 2025</v>
      </c>
      <c r="P305" s="97" t="str">
        <v>REFERENCIAL QUITO · utilidad 30% provisional</v>
      </c>
      <c r="Q305" t="str">
        <v>INSTALACIONES HIDROSANITARIAS Y CONDUCCIONES: AGUA POTABLE</v>
      </c>
      <c r="R305" t="str">
        <v>tuberia pvc u/e 110 mm 1.25 mpa</v>
      </c>
    </row>
    <row r="306">
      <c r="A306" t="str">
        <v>CAM-0301</v>
      </c>
      <c r="B306" t="str">
        <v>OBRA CIVIL</v>
      </c>
      <c r="C306" t="str">
        <v>13,0503</v>
      </c>
      <c r="D306" s="97" t="str">
        <v>TUBERÍA PVC U/E 160 MM 1.25 MPA</v>
      </c>
      <c r="E306" t="str">
        <v>mtl</v>
      </c>
      <c r="F306" s="95" t="n">
        <v>25.94</v>
      </c>
      <c r="G306" s="95" t="n">
        <v>1.37</v>
      </c>
      <c r="H306" s="95" t="n">
        <v>0.07</v>
      </c>
      <c r="I306" s="95" t="n">
        <v>27.38</v>
      </c>
      <c r="J306" s="96" t="n">
        <v>0.22</v>
      </c>
      <c r="K306" s="95" t="n">
        <f>I306*(1+J306)</f>
        <v>33.4036</v>
      </c>
      <c r="L306" s="96" t="n">
        <v>0.3</v>
      </c>
      <c r="M306" s="95" t="n">
        <f>K306*(1+L306)</f>
        <v>43.424679999999995</v>
      </c>
      <c r="N306" t="str">
        <v>CAMICON · Quito</v>
      </c>
      <c r="O306" t="str">
        <v>Octubre–diciembre 2025</v>
      </c>
      <c r="P306" s="97" t="str">
        <v>REFERENCIAL QUITO · utilidad 30% provisional</v>
      </c>
      <c r="Q306" t="str">
        <v>INSTALACIONES HIDROSANITARIAS Y CONDUCCIONES: AGUA POTABLE</v>
      </c>
      <c r="R306" t="str">
        <v>tuberia pvc u/e 160 mm 1.25 mpa</v>
      </c>
    </row>
    <row r="307">
      <c r="A307" t="str">
        <v>CAM-0302</v>
      </c>
      <c r="B307" t="str">
        <v>OBRA CIVIL</v>
      </c>
      <c r="C307" t="str">
        <v>13,0504</v>
      </c>
      <c r="D307" s="97" t="str">
        <v>TUBERÍA PVC U/E 200 MM 1.25 MPA</v>
      </c>
      <c r="E307" t="str">
        <v>mtl</v>
      </c>
      <c r="F307" s="95" t="n">
        <v>42.38</v>
      </c>
      <c r="G307" s="95" t="n">
        <v>2.11</v>
      </c>
      <c r="H307" s="95" t="n">
        <v>0.11</v>
      </c>
      <c r="I307" s="95" t="n">
        <v>44.6</v>
      </c>
      <c r="J307" s="96" t="n">
        <v>0.22</v>
      </c>
      <c r="K307" s="95" t="n">
        <f>I307*(1+J307)</f>
        <v>54.412</v>
      </c>
      <c r="L307" s="96" t="n">
        <v>0.3</v>
      </c>
      <c r="M307" s="95" t="n">
        <f>K307*(1+L307)</f>
        <v>70.7356</v>
      </c>
      <c r="N307" t="str">
        <v>CAMICON · Quito</v>
      </c>
      <c r="O307" t="str">
        <v>Octubre–diciembre 2025</v>
      </c>
      <c r="P307" s="97" t="str">
        <v>REFERENCIAL QUITO · utilidad 30% provisional</v>
      </c>
      <c r="Q307" t="str">
        <v>INSTALACIONES HIDROSANITARIAS Y CONDUCCIONES: AGUA POTABLE</v>
      </c>
      <c r="R307" t="str">
        <v>tuberia pvc u/e 200 mm 1.25 mpa</v>
      </c>
    </row>
    <row r="308">
      <c r="A308" t="str">
        <v>CAM-0303</v>
      </c>
      <c r="B308" t="str">
        <v>OBRA CIVIL</v>
      </c>
      <c r="C308" t="str">
        <v>13,0505</v>
      </c>
      <c r="D308" s="97" t="str">
        <v>TUBERÍA PVC U/E 250 MM 1.25 MPA</v>
      </c>
      <c r="E308" t="str">
        <v>mtl</v>
      </c>
      <c r="F308" s="95" t="n">
        <v>64.73</v>
      </c>
      <c r="G308" s="95" t="n">
        <v>2.11</v>
      </c>
      <c r="H308" s="95" t="n">
        <v>0.11</v>
      </c>
      <c r="I308" s="95" t="n">
        <v>66.95</v>
      </c>
      <c r="J308" s="96" t="n">
        <v>0.22</v>
      </c>
      <c r="K308" s="95" t="n">
        <f>I308*(1+J308)</f>
        <v>81.679</v>
      </c>
      <c r="L308" s="96" t="n">
        <v>0.3</v>
      </c>
      <c r="M308" s="95" t="n">
        <f>K308*(1+L308)</f>
        <v>106.18270000000001</v>
      </c>
      <c r="N308" t="str">
        <v>CAMICON · Quito</v>
      </c>
      <c r="O308" t="str">
        <v>Octubre–diciembre 2025</v>
      </c>
      <c r="P308" s="97" t="str">
        <v>REFERENCIAL QUITO · utilidad 30% provisional</v>
      </c>
      <c r="Q308" t="str">
        <v>INSTALACIONES HIDROSANITARIAS Y CONDUCCIONES: AGUA POTABLE</v>
      </c>
      <c r="R308" t="str">
        <v>tuberia pvc u/e 250 mm 1.25 mpa</v>
      </c>
    </row>
    <row r="309">
      <c r="A309" t="str">
        <v>CAM-0304</v>
      </c>
      <c r="B309" t="str">
        <v>OBRA CIVIL</v>
      </c>
      <c r="C309" t="str">
        <v>13,0506</v>
      </c>
      <c r="D309" s="97" t="str">
        <v>TUBERÍA PVC U/E 300 MM 1.25 MPA</v>
      </c>
      <c r="E309" t="str">
        <v>mtl</v>
      </c>
      <c r="F309" s="95" t="n">
        <v>108.81</v>
      </c>
      <c r="G309" s="95" t="n">
        <v>2.11</v>
      </c>
      <c r="H309" s="95" t="n">
        <v>0.11</v>
      </c>
      <c r="I309" s="95" t="n">
        <v>111.03</v>
      </c>
      <c r="J309" s="96" t="n">
        <v>0.22</v>
      </c>
      <c r="K309" s="95" t="n">
        <f>I309*(1+J309)</f>
        <v>135.4566</v>
      </c>
      <c r="L309" s="96" t="n">
        <v>0.3</v>
      </c>
      <c r="M309" s="95" t="n">
        <f>K309*(1+L309)</f>
        <v>176.09358000000003</v>
      </c>
      <c r="N309" t="str">
        <v>CAMICON · Quito</v>
      </c>
      <c r="O309" t="str">
        <v>Octubre–diciembre 2025</v>
      </c>
      <c r="P309" s="97" t="str">
        <v>REFERENCIAL QUITO · utilidad 30% provisional</v>
      </c>
      <c r="Q309" t="str">
        <v>INSTALACIONES HIDROSANITARIAS Y CONDUCCIONES: AGUA POTABLE</v>
      </c>
      <c r="R309" t="str">
        <v>tuberia pvc u/e 300 mm 1.25 mpa</v>
      </c>
    </row>
    <row r="310">
      <c r="A310" t="str">
        <v>CAM-0305</v>
      </c>
      <c r="B310" t="str">
        <v>OBRA CIVIL</v>
      </c>
      <c r="C310" t="str">
        <v>13,0507</v>
      </c>
      <c r="D310" s="97" t="str">
        <v>TUBERÍA PVC U/E 350 MM 1.25 MPA</v>
      </c>
      <c r="E310" t="str">
        <v>mtl</v>
      </c>
      <c r="F310" s="95" t="n">
        <v>154.8</v>
      </c>
      <c r="G310" s="95" t="n">
        <v>2.11</v>
      </c>
      <c r="H310" s="95" t="n">
        <v>0.11</v>
      </c>
      <c r="I310" s="95" t="n">
        <v>157.02</v>
      </c>
      <c r="J310" s="96" t="n">
        <v>0.22</v>
      </c>
      <c r="K310" s="95" t="n">
        <f>I310*(1+J310)</f>
        <v>191.5644</v>
      </c>
      <c r="L310" s="96" t="n">
        <v>0.3</v>
      </c>
      <c r="M310" s="95" t="n">
        <f>K310*(1+L310)</f>
        <v>249.03372000000002</v>
      </c>
      <c r="N310" t="str">
        <v>CAMICON · Quito</v>
      </c>
      <c r="O310" t="str">
        <v>Octubre–diciembre 2025</v>
      </c>
      <c r="P310" s="97" t="str">
        <v>REFERENCIAL QUITO · utilidad 30% provisional</v>
      </c>
      <c r="Q310" t="str">
        <v>INSTALACIONES HIDROSANITARIAS Y CONDUCCIONES: AGUA POTABLE</v>
      </c>
      <c r="R310" t="str">
        <v>tuberia pvc u/e 350 mm 1.25 mpa</v>
      </c>
    </row>
    <row r="311">
      <c r="A311" t="str">
        <v>CAM-0306</v>
      </c>
      <c r="B311" t="str">
        <v>OBRA CIVIL</v>
      </c>
      <c r="C311" t="str">
        <v>13,0508</v>
      </c>
      <c r="D311" s="97" t="str">
        <v>TUBERÍA PVC U/E 400 MM 1.25 MPA</v>
      </c>
      <c r="E311" t="str">
        <v>mtl</v>
      </c>
      <c r="F311" s="95" t="n">
        <v>184.42</v>
      </c>
      <c r="G311" s="95" t="n">
        <v>2.11</v>
      </c>
      <c r="H311" s="95" t="n">
        <v>0.11</v>
      </c>
      <c r="I311" s="95" t="n">
        <v>186.64</v>
      </c>
      <c r="J311" s="96" t="n">
        <v>0.22</v>
      </c>
      <c r="K311" s="95" t="n">
        <f>I311*(1+J311)</f>
        <v>227.7008</v>
      </c>
      <c r="L311" s="96" t="n">
        <v>0.3</v>
      </c>
      <c r="M311" s="95" t="n">
        <f>K311*(1+L311)</f>
        <v>296.01104</v>
      </c>
      <c r="N311" t="str">
        <v>CAMICON · Quito</v>
      </c>
      <c r="O311" t="str">
        <v>Octubre–diciembre 2025</v>
      </c>
      <c r="P311" s="97" t="str">
        <v>REFERENCIAL QUITO · utilidad 30% provisional</v>
      </c>
      <c r="Q311" t="str">
        <v>INSTALACIONES HIDROSANITARIAS Y CONDUCCIONES: AGUA POTABLE</v>
      </c>
      <c r="R311" t="str">
        <v>tuberia pvc u/e 400 mm 1.25 mpa</v>
      </c>
    </row>
    <row r="312">
      <c r="A312" t="str">
        <v>CAM-0307</v>
      </c>
      <c r="B312" t="str">
        <v>OBRA CIVIL</v>
      </c>
      <c r="C312" t="str">
        <v>13,0509</v>
      </c>
      <c r="D312" s="97" t="str">
        <v>TUBERÍA PVC U/E 500 MM 1.25MPA</v>
      </c>
      <c r="E312" t="str">
        <v>mtl</v>
      </c>
      <c r="F312" s="95" t="n">
        <v>264.22</v>
      </c>
      <c r="G312" s="95" t="n">
        <v>2.11</v>
      </c>
      <c r="H312" s="95" t="n">
        <v>0.11</v>
      </c>
      <c r="I312" s="95" t="n">
        <v>266.44</v>
      </c>
      <c r="J312" s="96" t="n">
        <v>0.22</v>
      </c>
      <c r="K312" s="95" t="n">
        <f>I312*(1+J312)</f>
        <v>325.0568</v>
      </c>
      <c r="L312" s="96" t="n">
        <v>0.3</v>
      </c>
      <c r="M312" s="95" t="n">
        <f>K312*(1+L312)</f>
        <v>422.57384</v>
      </c>
      <c r="N312" t="str">
        <v>CAMICON · Quito</v>
      </c>
      <c r="O312" t="str">
        <v>Octubre–diciembre 2025</v>
      </c>
      <c r="P312" s="97" t="str">
        <v>REFERENCIAL QUITO · utilidad 30% provisional</v>
      </c>
      <c r="Q312" t="str">
        <v>INSTALACIONES HIDROSANITARIAS Y CONDUCCIONES: AGUA POTABLE</v>
      </c>
      <c r="R312" t="str">
        <v>tuberia pvc u/e 500 mm 1.25mpa</v>
      </c>
    </row>
    <row r="313">
      <c r="A313" t="str">
        <v>CAM-0308</v>
      </c>
      <c r="B313" t="str">
        <v>OBRA CIVIL</v>
      </c>
      <c r="C313" t="str">
        <v>13,0601</v>
      </c>
      <c r="D313" s="97" t="str">
        <v>CALEFÓN A GAS 26 LITROS INSTALADO</v>
      </c>
      <c r="E313" t="str">
        <v>u</v>
      </c>
      <c r="F313" s="95" t="n">
        <v>394.35</v>
      </c>
      <c r="G313" s="95" t="n">
        <v>42.29</v>
      </c>
      <c r="H313" s="95" t="n">
        <v>2.11</v>
      </c>
      <c r="I313" s="95" t="n">
        <v>438.75</v>
      </c>
      <c r="J313" s="96" t="n">
        <v>0.22</v>
      </c>
      <c r="K313" s="95" t="n">
        <f>I313*(1+J313)</f>
        <v>535.275</v>
      </c>
      <c r="L313" s="96" t="n">
        <v>0.3</v>
      </c>
      <c r="M313" s="95" t="n">
        <f>K313*(1+L313)</f>
        <v>695.8575</v>
      </c>
      <c r="N313" t="str">
        <v>CAMICON · Quito</v>
      </c>
      <c r="O313" t="str">
        <v>Octubre–diciembre 2025</v>
      </c>
      <c r="P313" s="97" t="str">
        <v>REFERENCIAL QUITO · utilidad 30% provisional</v>
      </c>
      <c r="Q313" t="str">
        <v>INSTALACIONES HIDROSANITARIAS Y CONDUCCIONES: AGUA POTABLE</v>
      </c>
      <c r="R313" t="str">
        <v>calefon a gas 26 litros instalado</v>
      </c>
    </row>
    <row r="314">
      <c r="A314" t="str">
        <v>CAM-0309</v>
      </c>
      <c r="B314" t="str">
        <v>OBRA CIVIL</v>
      </c>
      <c r="C314" t="str">
        <v>13,0602</v>
      </c>
      <c r="D314" s="97" t="str">
        <v>CONEXIÓN DOMICILIARIA 1/2 ", NO INC. CAJA</v>
      </c>
      <c r="E314" t="str">
        <v>u</v>
      </c>
      <c r="F314" s="95" t="n">
        <v>107.15</v>
      </c>
      <c r="G314" s="95" t="n">
        <v>19.9</v>
      </c>
      <c r="H314" s="95" t="n">
        <v>1</v>
      </c>
      <c r="I314" s="95" t="n">
        <v>128.05</v>
      </c>
      <c r="J314" s="96" t="n">
        <v>0.22</v>
      </c>
      <c r="K314" s="95" t="n">
        <f>I314*(1+J314)</f>
        <v>156.221</v>
      </c>
      <c r="L314" s="96" t="n">
        <v>0.3</v>
      </c>
      <c r="M314" s="95" t="n">
        <f>K314*(1+L314)</f>
        <v>203.0873</v>
      </c>
      <c r="N314" t="str">
        <v>CAMICON · Quito</v>
      </c>
      <c r="O314" t="str">
        <v>Octubre–diciembre 2025</v>
      </c>
      <c r="P314" s="97" t="str">
        <v>REFERENCIAL QUITO · utilidad 30% provisional</v>
      </c>
      <c r="Q314" t="str">
        <v>INSTALACIONES HIDROSANITARIAS Y CONDUCCIONES: AGUA POTABLE</v>
      </c>
      <c r="R314" t="str">
        <v>conexion domiciliaria 1/2 ", no inc. caja</v>
      </c>
    </row>
    <row r="315">
      <c r="A315" t="str">
        <v>CAM-0310</v>
      </c>
      <c r="B315" t="str">
        <v>OBRA CIVIL</v>
      </c>
      <c r="C315" t="str">
        <v>13,0603</v>
      </c>
      <c r="D315" s="97" t="str">
        <v>LLAVE DE PASO 1/2"</v>
      </c>
      <c r="E315" t="str">
        <v>u</v>
      </c>
      <c r="F315" s="95" t="n">
        <v>10.21</v>
      </c>
      <c r="G315" s="95" t="n">
        <v>2.86</v>
      </c>
      <c r="H315" s="95" t="n">
        <v>0.14</v>
      </c>
      <c r="I315" s="95" t="n">
        <v>13.21</v>
      </c>
      <c r="J315" s="96" t="n">
        <v>0.22</v>
      </c>
      <c r="K315" s="95" t="n">
        <f>I315*(1+J315)</f>
        <v>16.1162</v>
      </c>
      <c r="L315" s="96" t="n">
        <v>0.3</v>
      </c>
      <c r="M315" s="95" t="n">
        <f>K315*(1+L315)</f>
        <v>20.95106</v>
      </c>
      <c r="N315" t="str">
        <v>CAMICON · Quito</v>
      </c>
      <c r="O315" t="str">
        <v>Octubre–diciembre 2025</v>
      </c>
      <c r="P315" s="97" t="str">
        <v>REFERENCIAL QUITO · utilidad 30% provisional</v>
      </c>
      <c r="Q315" t="str">
        <v>INSTALACIONES HIDROSANITARIAS Y CONDUCCIONES: AGUA POTABLE</v>
      </c>
      <c r="R315" t="str">
        <v>llave de paso 1/2"</v>
      </c>
    </row>
    <row r="316">
      <c r="A316" t="str">
        <v>CAM-0311</v>
      </c>
      <c r="B316" t="str">
        <v>OBRA CIVIL</v>
      </c>
      <c r="C316" t="str">
        <v>13,0604</v>
      </c>
      <c r="D316" s="97" t="str">
        <v>LLAVE DE PASO 3/4"</v>
      </c>
      <c r="E316" t="str">
        <v>u</v>
      </c>
      <c r="F316" s="95" t="n">
        <v>12.34</v>
      </c>
      <c r="G316" s="95" t="n">
        <v>2.94</v>
      </c>
      <c r="H316" s="95" t="n">
        <v>0.15</v>
      </c>
      <c r="I316" s="95" t="n">
        <v>15.43</v>
      </c>
      <c r="J316" s="96" t="n">
        <v>0.22</v>
      </c>
      <c r="K316" s="95" t="n">
        <f>I316*(1+J316)</f>
        <v>18.8246</v>
      </c>
      <c r="L316" s="96" t="n">
        <v>0.3</v>
      </c>
      <c r="M316" s="95" t="n">
        <f>K316*(1+L316)</f>
        <v>24.471980000000002</v>
      </c>
      <c r="N316" t="str">
        <v>CAMICON · Quito</v>
      </c>
      <c r="O316" t="str">
        <v>Octubre–diciembre 2025</v>
      </c>
      <c r="P316" s="97" t="str">
        <v>REFERENCIAL QUITO · utilidad 30% provisional</v>
      </c>
      <c r="Q316" t="str">
        <v>INSTALACIONES HIDROSANITARIAS Y CONDUCCIONES: AGUA POTABLE</v>
      </c>
      <c r="R316" t="str">
        <v>llave de paso 3/4"</v>
      </c>
    </row>
    <row r="317">
      <c r="A317" t="str">
        <v>CAM-0312</v>
      </c>
      <c r="B317" t="str">
        <v>OBRA CIVIL</v>
      </c>
      <c r="C317" t="str">
        <v>13,0605</v>
      </c>
      <c r="D317" s="97" t="str">
        <v>LLAVE DE PICO 1/2"</v>
      </c>
      <c r="E317" t="str">
        <v>u</v>
      </c>
      <c r="F317" s="95" t="n">
        <v>12.1</v>
      </c>
      <c r="G317" s="95" t="n">
        <v>2.61</v>
      </c>
      <c r="H317" s="95" t="n">
        <v>0.13</v>
      </c>
      <c r="I317" s="95" t="n">
        <v>14.84</v>
      </c>
      <c r="J317" s="96" t="n">
        <v>0.22</v>
      </c>
      <c r="K317" s="95" t="n">
        <f>I317*(1+J317)</f>
        <v>18.1048</v>
      </c>
      <c r="L317" s="96" t="n">
        <v>0.3</v>
      </c>
      <c r="M317" s="95" t="n">
        <f>K317*(1+L317)</f>
        <v>23.536240000000003</v>
      </c>
      <c r="N317" t="str">
        <v>CAMICON · Quito</v>
      </c>
      <c r="O317" t="str">
        <v>Octubre–diciembre 2025</v>
      </c>
      <c r="P317" s="97" t="str">
        <v>REFERENCIAL QUITO · utilidad 30% provisional</v>
      </c>
      <c r="Q317" t="str">
        <v>INSTALACIONES HIDROSANITARIAS Y CONDUCCIONES: AGUA POTABLE</v>
      </c>
      <c r="R317" t="str">
        <v>llave de pico 1/2"</v>
      </c>
    </row>
    <row r="318">
      <c r="A318" t="str">
        <v>CAM-0313</v>
      </c>
      <c r="B318" t="str">
        <v>OBRA CIVIL</v>
      </c>
      <c r="C318" t="str">
        <v>13,0606</v>
      </c>
      <c r="D318" s="97" t="str">
        <v>TANQUE CALENTADOR 30 GL (INSTALACIÓN)</v>
      </c>
      <c r="E318" t="str">
        <v>u</v>
      </c>
      <c r="F318" s="95" t="n">
        <v>443.35</v>
      </c>
      <c r="G318" s="95" t="n">
        <v>69.98</v>
      </c>
      <c r="H318" s="95" t="n">
        <v>3.5</v>
      </c>
      <c r="I318" s="95" t="n">
        <v>516.83</v>
      </c>
      <c r="J318" s="96" t="n">
        <v>0.22</v>
      </c>
      <c r="K318" s="95" t="n">
        <f>I318*(1+J318)</f>
        <v>630.5326</v>
      </c>
      <c r="L318" s="96" t="n">
        <v>0.3</v>
      </c>
      <c r="M318" s="95" t="n">
        <f>K318*(1+L318)</f>
        <v>819.6923800000001</v>
      </c>
      <c r="N318" t="str">
        <v>CAMICON · Quito</v>
      </c>
      <c r="O318" t="str">
        <v>Octubre–diciembre 2025</v>
      </c>
      <c r="P318" s="97" t="str">
        <v>REFERENCIAL QUITO · utilidad 30% provisional</v>
      </c>
      <c r="Q318" t="str">
        <v>INSTALACIONES HIDROSANITARIAS Y CONDUCCIONES: AGUA POTABLE</v>
      </c>
      <c r="R318" t="str">
        <v>tanque calentador 30 gl (instalacion)</v>
      </c>
    </row>
    <row r="319">
      <c r="A319" t="str">
        <v>CAM-0314</v>
      </c>
      <c r="B319" t="str">
        <v>OBRA CIVIL</v>
      </c>
      <c r="C319" t="str">
        <v>13,0607</v>
      </c>
      <c r="D319" s="97" t="str">
        <v>VÁLVULA CHECK 1/2" TIPO RW</v>
      </c>
      <c r="E319" t="str">
        <v>u</v>
      </c>
      <c r="F319" s="95" t="n">
        <v>10.17</v>
      </c>
      <c r="G319" s="95" t="n">
        <v>16.64</v>
      </c>
      <c r="H319" s="95" t="n">
        <v>0.83</v>
      </c>
      <c r="I319" s="95" t="n">
        <v>27.64</v>
      </c>
      <c r="J319" s="96" t="n">
        <v>0.22</v>
      </c>
      <c r="K319" s="95" t="n">
        <f>I319*(1+J319)</f>
        <v>33.7208</v>
      </c>
      <c r="L319" s="96" t="n">
        <v>0.3</v>
      </c>
      <c r="M319" s="95" t="n">
        <f>K319*(1+L319)</f>
        <v>43.837039999999995</v>
      </c>
      <c r="N319" t="str">
        <v>CAMICON · Quito</v>
      </c>
      <c r="O319" t="str">
        <v>Octubre–diciembre 2025</v>
      </c>
      <c r="P319" s="97" t="str">
        <v>REFERENCIAL QUITO · utilidad 30% provisional</v>
      </c>
      <c r="Q319" t="str">
        <v>INSTALACIONES HIDROSANITARIAS Y CONDUCCIONES: AGUA POTABLE</v>
      </c>
      <c r="R319" t="str">
        <v>valvula check 1/2" tipo rw</v>
      </c>
    </row>
    <row r="320">
      <c r="A320" t="str">
        <v>CAM-0315</v>
      </c>
      <c r="B320" t="str">
        <v>OBRA CIVIL</v>
      </c>
      <c r="C320" t="str">
        <v>14,0101</v>
      </c>
      <c r="D320" s="97" t="str">
        <v>CANALIZACIÓN EXTERIOR TUBO CEMENTO 150 MM</v>
      </c>
      <c r="E320" t="str">
        <v>mtl</v>
      </c>
      <c r="F320" s="95" t="n">
        <v>4.33</v>
      </c>
      <c r="G320" s="95" t="n">
        <v>1.5</v>
      </c>
      <c r="H320" s="95" t="n">
        <v>0.08</v>
      </c>
      <c r="I320" s="95" t="n">
        <v>5.91</v>
      </c>
      <c r="J320" s="96" t="n">
        <v>0.22</v>
      </c>
      <c r="K320" s="95" t="n">
        <f>I320*(1+J320)</f>
        <v>7.2102</v>
      </c>
      <c r="L320" s="96" t="n">
        <v>0.3</v>
      </c>
      <c r="M320" s="95" t="n">
        <f>K320*(1+L320)</f>
        <v>9.37326</v>
      </c>
      <c r="N320" t="str">
        <v>CAMICON · Quito</v>
      </c>
      <c r="O320" t="str">
        <v>Octubre–diciembre 2025</v>
      </c>
      <c r="P320" s="97" t="str">
        <v>REFERENCIAL QUITO · utilidad 30% provisional</v>
      </c>
      <c r="Q320" t="str">
        <v>INSTALACIONES HIDROSANITARIAS Y CONDUCCIONES: ALCANTARILLADO</v>
      </c>
      <c r="R320" t="str">
        <v>canalizacion exterior tubo cemento 150 mm</v>
      </c>
    </row>
    <row r="321">
      <c r="A321" t="str">
        <v>CAM-0316</v>
      </c>
      <c r="B321" t="str">
        <v>OBRA CIVIL</v>
      </c>
      <c r="C321" t="str">
        <v>14,0102</v>
      </c>
      <c r="D321" s="97" t="str">
        <v>CANALIZACIÓN EXTERIOR TUBO CEMENTO 200 MM</v>
      </c>
      <c r="E321" t="str">
        <v>mtl</v>
      </c>
      <c r="F321" s="95" t="n">
        <v>6.47</v>
      </c>
      <c r="G321" s="95" t="n">
        <v>1.56</v>
      </c>
      <c r="H321" s="95" t="n">
        <v>0.08</v>
      </c>
      <c r="I321" s="95" t="n">
        <v>8.11</v>
      </c>
      <c r="J321" s="96" t="n">
        <v>0.22</v>
      </c>
      <c r="K321" s="95" t="n">
        <f>I321*(1+J321)</f>
        <v>9.8942</v>
      </c>
      <c r="L321" s="96" t="n">
        <v>0.3</v>
      </c>
      <c r="M321" s="95" t="n">
        <f>K321*(1+L321)</f>
        <v>12.86246</v>
      </c>
      <c r="N321" t="str">
        <v>CAMICON · Quito</v>
      </c>
      <c r="O321" t="str">
        <v>Octubre–diciembre 2025</v>
      </c>
      <c r="P321" s="97" t="str">
        <v>REFERENCIAL QUITO · utilidad 30% provisional</v>
      </c>
      <c r="Q321" t="str">
        <v>INSTALACIONES HIDROSANITARIAS Y CONDUCCIONES: ALCANTARILLADO</v>
      </c>
      <c r="R321" t="str">
        <v>canalizacion exterior tubo cemento 200 mm</v>
      </c>
    </row>
    <row r="322">
      <c r="A322" t="str">
        <v>CAM-0317</v>
      </c>
      <c r="B322" t="str">
        <v>OBRA CIVIL</v>
      </c>
      <c r="C322" t="str">
        <v>14,0103</v>
      </c>
      <c r="D322" s="97" t="str">
        <v>CANALIZACIÓN EXTERIOR TUBO CEMENTO 250 MM</v>
      </c>
      <c r="E322" t="str">
        <v>mtl</v>
      </c>
      <c r="F322" s="95" t="n">
        <v>7.28</v>
      </c>
      <c r="G322" s="95" t="n">
        <v>1.56</v>
      </c>
      <c r="H322" s="95" t="n">
        <v>0.08</v>
      </c>
      <c r="I322" s="95" t="n">
        <v>8.92</v>
      </c>
      <c r="J322" s="96" t="n">
        <v>0.22</v>
      </c>
      <c r="K322" s="95" t="n">
        <f>I322*(1+J322)</f>
        <v>10.8824</v>
      </c>
      <c r="L322" s="96" t="n">
        <v>0.3</v>
      </c>
      <c r="M322" s="95" t="n">
        <f>K322*(1+L322)</f>
        <v>14.147120000000001</v>
      </c>
      <c r="N322" t="str">
        <v>CAMICON · Quito</v>
      </c>
      <c r="O322" t="str">
        <v>Octubre–diciembre 2025</v>
      </c>
      <c r="P322" s="97" t="str">
        <v>REFERENCIAL QUITO · utilidad 30% provisional</v>
      </c>
      <c r="Q322" t="str">
        <v>INSTALACIONES HIDROSANITARIAS Y CONDUCCIONES: ALCANTARILLADO</v>
      </c>
      <c r="R322" t="str">
        <v>canalizacion exterior tubo cemento 250 mm</v>
      </c>
    </row>
    <row r="323">
      <c r="A323" t="str">
        <v>CAM-0318</v>
      </c>
      <c r="B323" t="str">
        <v>OBRA CIVIL</v>
      </c>
      <c r="C323" t="str">
        <v>14,0104</v>
      </c>
      <c r="D323" s="97" t="str">
        <v>CANALIZACIÓN EXTERIOR TUBO CEMENTO 300 MM</v>
      </c>
      <c r="E323" t="str">
        <v>mtl</v>
      </c>
      <c r="F323" s="95" t="n">
        <v>9.79</v>
      </c>
      <c r="G323" s="95" t="n">
        <v>1.59</v>
      </c>
      <c r="H323" s="95" t="n">
        <v>0.08</v>
      </c>
      <c r="I323" s="95" t="n">
        <v>11.46</v>
      </c>
      <c r="J323" s="96" t="n">
        <v>0.22</v>
      </c>
      <c r="K323" s="95" t="n">
        <f>I323*(1+J323)</f>
        <v>13.981200000000001</v>
      </c>
      <c r="L323" s="96" t="n">
        <v>0.3</v>
      </c>
      <c r="M323" s="95" t="n">
        <f>K323*(1+L323)</f>
        <v>18.17556</v>
      </c>
      <c r="N323" t="str">
        <v>CAMICON · Quito</v>
      </c>
      <c r="O323" t="str">
        <v>Octubre–diciembre 2025</v>
      </c>
      <c r="P323" s="97" t="str">
        <v>REFERENCIAL QUITO · utilidad 30% provisional</v>
      </c>
      <c r="Q323" t="str">
        <v>INSTALACIONES HIDROSANITARIAS Y CONDUCCIONES: ALCANTARILLADO</v>
      </c>
      <c r="R323" t="str">
        <v>canalizacion exterior tubo cemento 300 mm</v>
      </c>
    </row>
    <row r="324">
      <c r="A324" t="str">
        <v>CAM-0319</v>
      </c>
      <c r="B324" t="str">
        <v>OBRA CIVIL</v>
      </c>
      <c r="C324" t="str">
        <v>14,0105</v>
      </c>
      <c r="D324" s="97" t="str">
        <v>CANALIZACIÓN EXTERIOR TUBO CEMENTO 350 MM</v>
      </c>
      <c r="E324" t="str">
        <v>mtl</v>
      </c>
      <c r="F324" s="95" t="n">
        <v>11.76</v>
      </c>
      <c r="G324" s="95" t="n">
        <v>1.59</v>
      </c>
      <c r="H324" s="95" t="n">
        <v>0.08</v>
      </c>
      <c r="I324" s="95" t="n">
        <v>13.43</v>
      </c>
      <c r="J324" s="96" t="n">
        <v>0.22</v>
      </c>
      <c r="K324" s="95" t="n">
        <f>I324*(1+J324)</f>
        <v>16.3846</v>
      </c>
      <c r="L324" s="96" t="n">
        <v>0.3</v>
      </c>
      <c r="M324" s="95" t="n">
        <f>K324*(1+L324)</f>
        <v>21.299979999999998</v>
      </c>
      <c r="N324" t="str">
        <v>CAMICON · Quito</v>
      </c>
      <c r="O324" t="str">
        <v>Octubre–diciembre 2025</v>
      </c>
      <c r="P324" s="97" t="str">
        <v>REFERENCIAL QUITO · utilidad 30% provisional</v>
      </c>
      <c r="Q324" t="str">
        <v>INSTALACIONES HIDROSANITARIAS Y CONDUCCIONES: ALCANTARILLADO</v>
      </c>
      <c r="R324" t="str">
        <v>canalizacion exterior tubo cemento 350 mm</v>
      </c>
    </row>
    <row r="325">
      <c r="A325" t="str">
        <v>CAM-0320</v>
      </c>
      <c r="B325" t="str">
        <v>OBRA CIVIL</v>
      </c>
      <c r="C325" t="str">
        <v>14,0106</v>
      </c>
      <c r="D325" s="97" t="str">
        <v>CANALIZACIÓN EXTERIOR TUBO CEMENTO 400 MM</v>
      </c>
      <c r="E325" t="str">
        <v>mtl</v>
      </c>
      <c r="F325" s="95" t="n">
        <v>13.95</v>
      </c>
      <c r="G325" s="95" t="n">
        <v>1.61</v>
      </c>
      <c r="H325" s="95" t="n">
        <v>0.08</v>
      </c>
      <c r="I325" s="95" t="n">
        <v>15.64</v>
      </c>
      <c r="J325" s="96" t="n">
        <v>0.22</v>
      </c>
      <c r="K325" s="95" t="n">
        <f>I325*(1+J325)</f>
        <v>19.0808</v>
      </c>
      <c r="L325" s="96" t="n">
        <v>0.3</v>
      </c>
      <c r="M325" s="95" t="n">
        <f>K325*(1+L325)</f>
        <v>24.80504</v>
      </c>
      <c r="N325" t="str">
        <v>CAMICON · Quito</v>
      </c>
      <c r="O325" t="str">
        <v>Octubre–diciembre 2025</v>
      </c>
      <c r="P325" s="97" t="str">
        <v>REFERENCIAL QUITO · utilidad 30% provisional</v>
      </c>
      <c r="Q325" t="str">
        <v>INSTALACIONES HIDROSANITARIAS Y CONDUCCIONES: ALCANTARILLADO</v>
      </c>
      <c r="R325" t="str">
        <v>canalizacion exterior tubo cemento 400 mm</v>
      </c>
    </row>
    <row r="326">
      <c r="A326" t="str">
        <v>CAM-0321</v>
      </c>
      <c r="B326" t="str">
        <v>OBRA CIVIL</v>
      </c>
      <c r="C326" t="str">
        <v>14,0107</v>
      </c>
      <c r="D326" s="97" t="str">
        <v>CANALIZACIÓN EXTERIOR TUBO CEMENTO 450 MM</v>
      </c>
      <c r="E326" t="str">
        <v>mtl</v>
      </c>
      <c r="F326" s="95" t="n">
        <v>18.45</v>
      </c>
      <c r="G326" s="95" t="n">
        <v>1.61</v>
      </c>
      <c r="H326" s="95" t="n">
        <v>0.08</v>
      </c>
      <c r="I326" s="95" t="n">
        <v>20.14</v>
      </c>
      <c r="J326" s="96" t="n">
        <v>0.22</v>
      </c>
      <c r="K326" s="95" t="n">
        <f>I326*(1+J326)</f>
        <v>24.5708</v>
      </c>
      <c r="L326" s="96" t="n">
        <v>0.3</v>
      </c>
      <c r="M326" s="95" t="n">
        <f>K326*(1+L326)</f>
        <v>31.94204</v>
      </c>
      <c r="N326" t="str">
        <v>CAMICON · Quito</v>
      </c>
      <c r="O326" t="str">
        <v>Octubre–diciembre 2025</v>
      </c>
      <c r="P326" s="97" t="str">
        <v>REFERENCIAL QUITO · utilidad 30% provisional</v>
      </c>
      <c r="Q326" t="str">
        <v>INSTALACIONES HIDROSANITARIAS Y CONDUCCIONES: ALCANTARILLADO</v>
      </c>
      <c r="R326" t="str">
        <v>canalizacion exterior tubo cemento 450 mm</v>
      </c>
    </row>
    <row r="327">
      <c r="A327" t="str">
        <v>CAM-0322</v>
      </c>
      <c r="B327" t="str">
        <v>OBRA CIVIL</v>
      </c>
      <c r="C327" t="str">
        <v>14,0108</v>
      </c>
      <c r="D327" s="97" t="str">
        <v>CANALIZACIÓN EXTERIOR TUBO CEMENTO 500 MM</v>
      </c>
      <c r="E327" t="str">
        <v>mtl</v>
      </c>
      <c r="F327" s="95" t="n">
        <v>22.52</v>
      </c>
      <c r="G327" s="95" t="n">
        <v>1.64</v>
      </c>
      <c r="H327" s="95" t="n">
        <v>0.08</v>
      </c>
      <c r="I327" s="95" t="n">
        <v>24.24</v>
      </c>
      <c r="J327" s="96" t="n">
        <v>0.22</v>
      </c>
      <c r="K327" s="95" t="n">
        <f>I327*(1+J327)</f>
        <v>29.572799999999997</v>
      </c>
      <c r="L327" s="96" t="n">
        <v>0.3</v>
      </c>
      <c r="M327" s="95" t="n">
        <f>K327*(1+L327)</f>
        <v>38.44464</v>
      </c>
      <c r="N327" t="str">
        <v>CAMICON · Quito</v>
      </c>
      <c r="O327" t="str">
        <v>Octubre–diciembre 2025</v>
      </c>
      <c r="P327" s="97" t="str">
        <v>REFERENCIAL QUITO · utilidad 30% provisional</v>
      </c>
      <c r="Q327" t="str">
        <v>INSTALACIONES HIDROSANITARIAS Y CONDUCCIONES: ALCANTARILLADO</v>
      </c>
      <c r="R327" t="str">
        <v>canalizacion exterior tubo cemento 500 mm</v>
      </c>
    </row>
    <row r="328">
      <c r="A328" t="str">
        <v>CAM-0323</v>
      </c>
      <c r="B328" t="str">
        <v>OBRA CIVIL</v>
      </c>
      <c r="C328" t="str">
        <v>14,0109</v>
      </c>
      <c r="D328" s="97" t="str">
        <v>CANALIZACIÓN EXTERIOR TUBO CEMENTO 600 MM</v>
      </c>
      <c r="E328" t="str">
        <v>mtl</v>
      </c>
      <c r="F328" s="95" t="n">
        <v>50.83</v>
      </c>
      <c r="G328" s="95" t="n">
        <v>1.64</v>
      </c>
      <c r="H328" s="95" t="n">
        <v>0.08</v>
      </c>
      <c r="I328" s="95" t="n">
        <v>52.55</v>
      </c>
      <c r="J328" s="96" t="n">
        <v>0.22</v>
      </c>
      <c r="K328" s="95" t="n">
        <f>I328*(1+J328)</f>
        <v>64.11099999999999</v>
      </c>
      <c r="L328" s="96" t="n">
        <v>0.3</v>
      </c>
      <c r="M328" s="95" t="n">
        <f>K328*(1+L328)</f>
        <v>83.34429999999999</v>
      </c>
      <c r="N328" t="str">
        <v>CAMICON · Quito</v>
      </c>
      <c r="O328" t="str">
        <v>Octubre–diciembre 2025</v>
      </c>
      <c r="P328" s="97" t="str">
        <v>REFERENCIAL QUITO · utilidad 30% provisional</v>
      </c>
      <c r="Q328" t="str">
        <v>INSTALACIONES HIDROSANITARIAS Y CONDUCCIONES: ALCANTARILLADO</v>
      </c>
      <c r="R328" t="str">
        <v>canalizacion exterior tubo cemento 600 mm</v>
      </c>
    </row>
    <row r="329">
      <c r="A329" t="str">
        <v>CAM-0324</v>
      </c>
      <c r="B329" t="str">
        <v>OBRA CIVIL</v>
      </c>
      <c r="C329" t="str">
        <v>14,0110</v>
      </c>
      <c r="D329" s="97" t="str">
        <v>CANALIZACIÓN EXTERIOR TUBO CEMENTO 800 MM</v>
      </c>
      <c r="E329" t="str">
        <v>mtl</v>
      </c>
      <c r="F329" s="95" t="n">
        <v>77.54</v>
      </c>
      <c r="G329" s="95" t="n">
        <v>1.66</v>
      </c>
      <c r="H329" s="95" t="n">
        <v>0.08</v>
      </c>
      <c r="I329" s="95" t="n">
        <v>79.28</v>
      </c>
      <c r="J329" s="96" t="n">
        <v>0.22</v>
      </c>
      <c r="K329" s="95" t="n">
        <f>I329*(1+J329)</f>
        <v>96.7216</v>
      </c>
      <c r="L329" s="96" t="n">
        <v>0.3</v>
      </c>
      <c r="M329" s="95" t="n">
        <f>K329*(1+L329)</f>
        <v>125.73808</v>
      </c>
      <c r="N329" t="str">
        <v>CAMICON · Quito</v>
      </c>
      <c r="O329" t="str">
        <v>Octubre–diciembre 2025</v>
      </c>
      <c r="P329" s="97" t="str">
        <v>REFERENCIAL QUITO · utilidad 30% provisional</v>
      </c>
      <c r="Q329" t="str">
        <v>INSTALACIONES HIDROSANITARIAS Y CONDUCCIONES: ALCANTARILLADO</v>
      </c>
      <c r="R329" t="str">
        <v>canalizacion exterior tubo cemento 800 mm</v>
      </c>
    </row>
    <row r="330">
      <c r="A330" t="str">
        <v>CAM-0325</v>
      </c>
      <c r="B330" t="str">
        <v>OBRA CIVIL</v>
      </c>
      <c r="C330" t="str">
        <v>14,0111</v>
      </c>
      <c r="D330" s="97" t="str">
        <v>CANALIZACIÓN EXTERIOR TUBO CEMENTO 1000 MM</v>
      </c>
      <c r="E330" t="str">
        <v>mtl</v>
      </c>
      <c r="F330" s="95" t="n">
        <v>183.41</v>
      </c>
      <c r="G330" s="95" t="n">
        <v>1.66</v>
      </c>
      <c r="H330" s="95" t="n">
        <v>0.08</v>
      </c>
      <c r="I330" s="95" t="n">
        <v>185.15</v>
      </c>
      <c r="J330" s="96" t="n">
        <v>0.22</v>
      </c>
      <c r="K330" s="95" t="n">
        <f>I330*(1+J330)</f>
        <v>225.883</v>
      </c>
      <c r="L330" s="96" t="n">
        <v>0.3</v>
      </c>
      <c r="M330" s="95" t="n">
        <f>K330*(1+L330)</f>
        <v>293.64790000000005</v>
      </c>
      <c r="N330" t="str">
        <v>CAMICON · Quito</v>
      </c>
      <c r="O330" t="str">
        <v>Octubre–diciembre 2025</v>
      </c>
      <c r="P330" s="97" t="str">
        <v>REFERENCIAL QUITO · utilidad 30% provisional</v>
      </c>
      <c r="Q330" t="str">
        <v>INSTALACIONES HIDROSANITARIAS Y CONDUCCIONES: ALCANTARILLADO</v>
      </c>
      <c r="R330" t="str">
        <v>canalizacion exterior tubo cemento 1000 mm</v>
      </c>
    </row>
    <row r="331">
      <c r="A331" t="str">
        <v>CAM-0326</v>
      </c>
      <c r="B331" t="str">
        <v>OBRA CIVIL</v>
      </c>
      <c r="C331" t="str">
        <v>14,0201</v>
      </c>
      <c r="D331" s="97" t="str">
        <v>TUBERÍA ANILLADA PVC, ALCANT. DIN= 110 MM</v>
      </c>
      <c r="E331" t="str">
        <v>mtl</v>
      </c>
      <c r="F331" s="95" t="n">
        <v>3.95</v>
      </c>
      <c r="G331" s="95" t="n">
        <v>1.44</v>
      </c>
      <c r="H331" s="95" t="n">
        <v>0.07</v>
      </c>
      <c r="I331" s="95" t="n">
        <v>5.46</v>
      </c>
      <c r="J331" s="96" t="n">
        <v>0.22</v>
      </c>
      <c r="K331" s="95" t="n">
        <f>I331*(1+J331)</f>
        <v>6.6612</v>
      </c>
      <c r="L331" s="96" t="n">
        <v>0.3</v>
      </c>
      <c r="M331" s="95" t="n">
        <f>K331*(1+L331)</f>
        <v>8.65956</v>
      </c>
      <c r="N331" t="str">
        <v>CAMICON · Quito</v>
      </c>
      <c r="O331" t="str">
        <v>Octubre–diciembre 2025</v>
      </c>
      <c r="P331" s="97" t="str">
        <v>REFERENCIAL QUITO · utilidad 30% provisional</v>
      </c>
      <c r="Q331" t="str">
        <v>INSTALACIONES HIDROSANITARIAS Y CONDUCCIONES: ALCANTARILLADO</v>
      </c>
      <c r="R331" t="str">
        <v>tuberia anillada pvc, alcant. din= 110 mm</v>
      </c>
    </row>
    <row r="332">
      <c r="A332" t="str">
        <v>CAM-0327</v>
      </c>
      <c r="B332" t="str">
        <v>OBRA CIVIL</v>
      </c>
      <c r="C332" t="str">
        <v>14,0202</v>
      </c>
      <c r="D332" s="97" t="str">
        <v>TUBERÍA ANILLADA PVC, ALCANT. DIN= 160 MM</v>
      </c>
      <c r="E332" t="str">
        <v>mtl</v>
      </c>
      <c r="F332" s="95" t="n">
        <v>6.37</v>
      </c>
      <c r="G332" s="95" t="n">
        <v>1.44</v>
      </c>
      <c r="H332" s="95" t="n">
        <v>0.07</v>
      </c>
      <c r="I332" s="95" t="n">
        <v>7.88</v>
      </c>
      <c r="J332" s="96" t="n">
        <v>0.22</v>
      </c>
      <c r="K332" s="95" t="n">
        <f>I332*(1+J332)</f>
        <v>9.6136</v>
      </c>
      <c r="L332" s="96" t="n">
        <v>0.3</v>
      </c>
      <c r="M332" s="95" t="n">
        <f>K332*(1+L332)</f>
        <v>12.49768</v>
      </c>
      <c r="N332" t="str">
        <v>CAMICON · Quito</v>
      </c>
      <c r="O332" t="str">
        <v>Octubre–diciembre 2025</v>
      </c>
      <c r="P332" s="97" t="str">
        <v>REFERENCIAL QUITO · utilidad 30% provisional</v>
      </c>
      <c r="Q332" t="str">
        <v>INSTALACIONES HIDROSANITARIAS Y CONDUCCIONES: ALCANTARILLADO</v>
      </c>
      <c r="R332" t="str">
        <v>tuberia anillada pvc, alcant. din= 160 mm</v>
      </c>
    </row>
    <row r="333">
      <c r="A333" t="str">
        <v>CAM-0328</v>
      </c>
      <c r="B333" t="str">
        <v>OBRA CIVIL</v>
      </c>
      <c r="C333" t="str">
        <v>14,0203</v>
      </c>
      <c r="D333" s="97" t="str">
        <v>TUBERÍA ANILLADA PVC, ALCANT. DIN= 200 MM</v>
      </c>
      <c r="E333" t="str">
        <v>mtl</v>
      </c>
      <c r="F333" s="95" t="n">
        <v>10.66</v>
      </c>
      <c r="G333" s="95" t="n">
        <v>1.46</v>
      </c>
      <c r="H333" s="95" t="n">
        <v>0.07</v>
      </c>
      <c r="I333" s="95" t="n">
        <v>12.19</v>
      </c>
      <c r="J333" s="96" t="n">
        <v>0.22</v>
      </c>
      <c r="K333" s="95" t="n">
        <f>I333*(1+J333)</f>
        <v>14.871799999999999</v>
      </c>
      <c r="L333" s="96" t="n">
        <v>0.3</v>
      </c>
      <c r="M333" s="95" t="n">
        <f>K333*(1+L333)</f>
        <v>19.33334</v>
      </c>
      <c r="N333" t="str">
        <v>CAMICON · Quito</v>
      </c>
      <c r="O333" t="str">
        <v>Octubre–diciembre 2025</v>
      </c>
      <c r="P333" s="97" t="str">
        <v>REFERENCIAL QUITO · utilidad 30% provisional</v>
      </c>
      <c r="Q333" t="str">
        <v>INSTALACIONES HIDROSANITARIAS Y CONDUCCIONES: ALCANTARILLADO</v>
      </c>
      <c r="R333" t="str">
        <v>tuberia anillada pvc, alcant. din= 200 mm</v>
      </c>
    </row>
    <row r="334">
      <c r="A334" t="str">
        <v>CAM-0329</v>
      </c>
      <c r="B334" t="str">
        <v>OBRA CIVIL</v>
      </c>
      <c r="C334" t="str">
        <v>14,0204</v>
      </c>
      <c r="D334" s="97" t="str">
        <v>TUBERÍA ANILLADA PVC, ALCANT. DIN= 250 MM</v>
      </c>
      <c r="E334" t="str">
        <v>mtl</v>
      </c>
      <c r="F334" s="95" t="n">
        <v>13.64</v>
      </c>
      <c r="G334" s="95" t="n">
        <v>1.46</v>
      </c>
      <c r="H334" s="95" t="n">
        <v>0.07</v>
      </c>
      <c r="I334" s="95" t="n">
        <v>15.17</v>
      </c>
      <c r="J334" s="96" t="n">
        <v>0.22</v>
      </c>
      <c r="K334" s="95" t="n">
        <f>I334*(1+J334)</f>
        <v>18.5074</v>
      </c>
      <c r="L334" s="96" t="n">
        <v>0.3</v>
      </c>
      <c r="M334" s="95" t="n">
        <f>K334*(1+L334)</f>
        <v>24.059620000000002</v>
      </c>
      <c r="N334" t="str">
        <v>CAMICON · Quito</v>
      </c>
      <c r="O334" t="str">
        <v>Octubre–diciembre 2025</v>
      </c>
      <c r="P334" s="97" t="str">
        <v>REFERENCIAL QUITO · utilidad 30% provisional</v>
      </c>
      <c r="Q334" t="str">
        <v>INSTALACIONES HIDROSANITARIAS Y CONDUCCIONES: ALCANTARILLADO</v>
      </c>
      <c r="R334" t="str">
        <v>tuberia anillada pvc, alcant. din= 250 mm</v>
      </c>
    </row>
    <row r="335">
      <c r="A335" t="str">
        <v>CAM-0330</v>
      </c>
      <c r="B335" t="str">
        <v>OBRA CIVIL</v>
      </c>
      <c r="C335" t="str">
        <v>14,0205</v>
      </c>
      <c r="D335" s="97" t="str">
        <v>TUBERÍA ANILLADA PVC, ALCANT. DIN= 300 MM</v>
      </c>
      <c r="E335" t="str">
        <v>mtl</v>
      </c>
      <c r="F335" s="95" t="n">
        <v>19.86</v>
      </c>
      <c r="G335" s="95" t="n">
        <v>1.81</v>
      </c>
      <c r="H335" s="95" t="n">
        <v>0.09</v>
      </c>
      <c r="I335" s="95" t="n">
        <v>21.76</v>
      </c>
      <c r="J335" s="96" t="n">
        <v>0.22</v>
      </c>
      <c r="K335" s="95" t="n">
        <f>I335*(1+J335)</f>
        <v>26.5472</v>
      </c>
      <c r="L335" s="96" t="n">
        <v>0.3</v>
      </c>
      <c r="M335" s="95" t="n">
        <f>K335*(1+L335)</f>
        <v>34.51136</v>
      </c>
      <c r="N335" t="str">
        <v>CAMICON · Quito</v>
      </c>
      <c r="O335" t="str">
        <v>Octubre–diciembre 2025</v>
      </c>
      <c r="P335" s="97" t="str">
        <v>REFERENCIAL QUITO · utilidad 30% provisional</v>
      </c>
      <c r="Q335" t="str">
        <v>INSTALACIONES HIDROSANITARIAS Y CONDUCCIONES: ALCANTARILLADO</v>
      </c>
      <c r="R335" t="str">
        <v>tuberia anillada pvc, alcant. din= 300 mm</v>
      </c>
    </row>
    <row r="336">
      <c r="A336" t="str">
        <v>CAM-0331</v>
      </c>
      <c r="B336" t="str">
        <v>OBRA CIVIL</v>
      </c>
      <c r="C336" t="str">
        <v>14,0206</v>
      </c>
      <c r="D336" s="97" t="str">
        <v>TUBERÍA ANILLADA PVC, ALCANT. DIN= 335 MM</v>
      </c>
      <c r="E336" t="str">
        <v>mtl</v>
      </c>
      <c r="F336" s="95" t="n">
        <v>26.78</v>
      </c>
      <c r="G336" s="95" t="n">
        <v>2.11</v>
      </c>
      <c r="H336" s="95" t="n">
        <v>0.11</v>
      </c>
      <c r="I336" s="95" t="n">
        <v>29</v>
      </c>
      <c r="J336" s="96" t="n">
        <v>0.22</v>
      </c>
      <c r="K336" s="95" t="n">
        <f>I336*(1+J336)</f>
        <v>35.38</v>
      </c>
      <c r="L336" s="96" t="n">
        <v>0.3</v>
      </c>
      <c r="M336" s="95" t="n">
        <f>K336*(1+L336)</f>
        <v>45.99400000000001</v>
      </c>
      <c r="N336" t="str">
        <v>CAMICON · Quito</v>
      </c>
      <c r="O336" t="str">
        <v>Octubre–diciembre 2025</v>
      </c>
      <c r="P336" s="97" t="str">
        <v>REFERENCIAL QUITO · utilidad 30% provisional</v>
      </c>
      <c r="Q336" t="str">
        <v>INSTALACIONES HIDROSANITARIAS Y CONDUCCIONES: ALCANTARILLADO</v>
      </c>
      <c r="R336" t="str">
        <v>tuberia anillada pvc, alcant. din= 335 mm</v>
      </c>
    </row>
    <row r="337">
      <c r="A337" t="str">
        <v>CAM-0332</v>
      </c>
      <c r="B337" t="str">
        <v>OBRA CIVIL</v>
      </c>
      <c r="C337" t="str">
        <v>14,0207</v>
      </c>
      <c r="D337" s="97" t="str">
        <v>TUBERÍA ANILLADA PVC, ALCANT. DIN= 400 MM</v>
      </c>
      <c r="E337" t="str">
        <v>mtl</v>
      </c>
      <c r="F337" s="95" t="n">
        <v>37.5</v>
      </c>
      <c r="G337" s="95" t="n">
        <v>2.25</v>
      </c>
      <c r="H337" s="95" t="n">
        <v>0.11</v>
      </c>
      <c r="I337" s="95" t="n">
        <v>39.86</v>
      </c>
      <c r="J337" s="96" t="n">
        <v>0.22</v>
      </c>
      <c r="K337" s="95" t="n">
        <f>I337*(1+J337)</f>
        <v>48.6292</v>
      </c>
      <c r="L337" s="96" t="n">
        <v>0.3</v>
      </c>
      <c r="M337" s="95" t="n">
        <f>K337*(1+L337)</f>
        <v>63.21796</v>
      </c>
      <c r="N337" t="str">
        <v>CAMICON · Quito</v>
      </c>
      <c r="O337" t="str">
        <v>Octubre–diciembre 2025</v>
      </c>
      <c r="P337" s="97" t="str">
        <v>REFERENCIAL QUITO · utilidad 30% provisional</v>
      </c>
      <c r="Q337" t="str">
        <v>INSTALACIONES HIDROSANITARIAS Y CONDUCCIONES: ALCANTARILLADO</v>
      </c>
      <c r="R337" t="str">
        <v>tuberia anillada pvc, alcant. din= 400 mm</v>
      </c>
    </row>
    <row r="338">
      <c r="A338" t="str">
        <v>CAM-0333</v>
      </c>
      <c r="B338" t="str">
        <v>OBRA CIVIL</v>
      </c>
      <c r="C338" t="str">
        <v>14,0208</v>
      </c>
      <c r="D338" s="97" t="str">
        <v>TUBERÍA ANILLADA PVC, ALCANT. DIN= 540 MM</v>
      </c>
      <c r="E338" t="str">
        <v>mtl</v>
      </c>
      <c r="F338" s="95" t="n">
        <v>57.44</v>
      </c>
      <c r="G338" s="95" t="n">
        <v>2.43</v>
      </c>
      <c r="H338" s="95" t="n">
        <v>0.12</v>
      </c>
      <c r="I338" s="95" t="n">
        <v>59.99</v>
      </c>
      <c r="J338" s="96" t="n">
        <v>0.22</v>
      </c>
      <c r="K338" s="95" t="n">
        <f>I338*(1+J338)</f>
        <v>73.1878</v>
      </c>
      <c r="L338" s="96" t="n">
        <v>0.3</v>
      </c>
      <c r="M338" s="95" t="n">
        <f>K338*(1+L338)</f>
        <v>95.14414</v>
      </c>
      <c r="N338" t="str">
        <v>CAMICON · Quito</v>
      </c>
      <c r="O338" t="str">
        <v>Octubre–diciembre 2025</v>
      </c>
      <c r="P338" s="97" t="str">
        <v>REFERENCIAL QUITO · utilidad 30% provisional</v>
      </c>
      <c r="Q338" t="str">
        <v>INSTALACIONES HIDROSANITARIAS Y CONDUCCIONES: ALCANTARILLADO</v>
      </c>
      <c r="R338" t="str">
        <v>tuberia anillada pvc, alcant. din= 540 mm</v>
      </c>
    </row>
    <row r="339">
      <c r="A339" t="str">
        <v>CAM-0334</v>
      </c>
      <c r="B339" t="str">
        <v>OBRA CIVIL</v>
      </c>
      <c r="C339" t="str">
        <v>14,0209</v>
      </c>
      <c r="D339" s="97" t="str">
        <v>TUBERÍA ANILLADA PVC, ALCANT. DIN= 650 MM</v>
      </c>
      <c r="E339" t="str">
        <v>mtl</v>
      </c>
      <c r="F339" s="95" t="n">
        <v>94.12</v>
      </c>
      <c r="G339" s="95" t="n">
        <v>2.61</v>
      </c>
      <c r="H339" s="95" t="n">
        <v>0.13</v>
      </c>
      <c r="I339" s="95" t="n">
        <v>96.86</v>
      </c>
      <c r="J339" s="96" t="n">
        <v>0.22</v>
      </c>
      <c r="K339" s="95" t="n">
        <f>I339*(1+J339)</f>
        <v>118.1692</v>
      </c>
      <c r="L339" s="96" t="n">
        <v>0.3</v>
      </c>
      <c r="M339" s="95" t="n">
        <f>K339*(1+L339)</f>
        <v>153.61996000000002</v>
      </c>
      <c r="N339" t="str">
        <v>CAMICON · Quito</v>
      </c>
      <c r="O339" t="str">
        <v>Octubre–diciembre 2025</v>
      </c>
      <c r="P339" s="97" t="str">
        <v>REFERENCIAL QUITO · utilidad 30% provisional</v>
      </c>
      <c r="Q339" t="str">
        <v>INSTALACIONES HIDROSANITARIAS Y CONDUCCIONES: ALCANTARILLADO</v>
      </c>
      <c r="R339" t="str">
        <v>tuberia anillada pvc, alcant. din= 650 mm</v>
      </c>
    </row>
    <row r="340">
      <c r="A340" t="str">
        <v>CAM-0335</v>
      </c>
      <c r="B340" t="str">
        <v>OBRA CIVIL</v>
      </c>
      <c r="C340" t="str">
        <v>14.0301</v>
      </c>
      <c r="D340" s="97" t="str">
        <v>CANALIZACIÓN TUBERÍA PVC 50 MM</v>
      </c>
      <c r="E340" t="str">
        <v>mtl</v>
      </c>
      <c r="F340" s="95" t="n">
        <v>2.73</v>
      </c>
      <c r="G340" s="95" t="n">
        <v>1.51</v>
      </c>
      <c r="H340" s="95" t="n">
        <v>0.08</v>
      </c>
      <c r="I340" s="95" t="n">
        <v>4.32</v>
      </c>
      <c r="J340" s="96" t="n">
        <v>0.22</v>
      </c>
      <c r="K340" s="95" t="n">
        <f>I340*(1+J340)</f>
        <v>5.2704</v>
      </c>
      <c r="L340" s="96" t="n">
        <v>0.3</v>
      </c>
      <c r="M340" s="95" t="n">
        <f>K340*(1+L340)</f>
        <v>6.851520000000001</v>
      </c>
      <c r="N340" t="str">
        <v>CAMICON · Quito</v>
      </c>
      <c r="O340" t="str">
        <v>Octubre–diciembre 2025</v>
      </c>
      <c r="P340" s="97" t="str">
        <v>REFERENCIAL QUITO · utilidad 30% provisional</v>
      </c>
      <c r="Q340" t="str">
        <v>INSTALACIONES HIDROSANITARIAS Y CONDUCCIONES: ALCANTARILLADO</v>
      </c>
      <c r="R340" t="str">
        <v>canalizacion tuberia pvc 50 mm</v>
      </c>
    </row>
    <row r="341">
      <c r="A341" t="str">
        <v>CAM-0336</v>
      </c>
      <c r="B341" t="str">
        <v>OBRA CIVIL</v>
      </c>
      <c r="C341" t="str">
        <v>14.0302</v>
      </c>
      <c r="D341" s="97" t="str">
        <v>CANALIZACIÓN TUBERÍA PVC 75 MM</v>
      </c>
      <c r="E341" t="str">
        <v>mtl</v>
      </c>
      <c r="F341" s="95" t="n">
        <v>4.69</v>
      </c>
      <c r="G341" s="95" t="n">
        <v>2.25</v>
      </c>
      <c r="H341" s="95" t="n">
        <v>0.11</v>
      </c>
      <c r="I341" s="95" t="n">
        <v>7.05</v>
      </c>
      <c r="J341" s="96" t="n">
        <v>0.22</v>
      </c>
      <c r="K341" s="95" t="n">
        <f>I341*(1+J341)</f>
        <v>8.600999999999999</v>
      </c>
      <c r="L341" s="96" t="n">
        <v>0.3</v>
      </c>
      <c r="M341" s="95" t="n">
        <f>K341*(1+L341)</f>
        <v>11.181299999999998</v>
      </c>
      <c r="N341" t="str">
        <v>CAMICON · Quito</v>
      </c>
      <c r="O341" t="str">
        <v>Octubre–diciembre 2025</v>
      </c>
      <c r="P341" s="97" t="str">
        <v>REFERENCIAL QUITO · utilidad 30% provisional</v>
      </c>
      <c r="Q341" t="str">
        <v>INSTALACIONES HIDROSANITARIAS Y CONDUCCIONES: ALCANTARILLADO</v>
      </c>
      <c r="R341" t="str">
        <v>canalizacion tuberia pvc 75 mm</v>
      </c>
    </row>
    <row r="342">
      <c r="A342" t="str">
        <v>CAM-0337</v>
      </c>
      <c r="B342" t="str">
        <v>OBRA CIVIL</v>
      </c>
      <c r="C342" t="str">
        <v>14.0303</v>
      </c>
      <c r="D342" s="97" t="str">
        <v>CANALIZACIÓN TUBERÍA PVC 110 MM</v>
      </c>
      <c r="E342" t="str">
        <v>mtl</v>
      </c>
      <c r="F342" s="95" t="n">
        <v>5.9</v>
      </c>
      <c r="G342" s="95" t="n">
        <v>3.27</v>
      </c>
      <c r="H342" s="95" t="n">
        <v>0.16</v>
      </c>
      <c r="I342" s="95" t="n">
        <v>9.33</v>
      </c>
      <c r="J342" s="96" t="n">
        <v>0.22</v>
      </c>
      <c r="K342" s="95" t="n">
        <f>I342*(1+J342)</f>
        <v>11.3826</v>
      </c>
      <c r="L342" s="96" t="n">
        <v>0.3</v>
      </c>
      <c r="M342" s="95" t="n">
        <f>K342*(1+L342)</f>
        <v>14.79738</v>
      </c>
      <c r="N342" t="str">
        <v>CAMICON · Quito</v>
      </c>
      <c r="O342" t="str">
        <v>Octubre–diciembre 2025</v>
      </c>
      <c r="P342" s="97" t="str">
        <v>REFERENCIAL QUITO · utilidad 30% provisional</v>
      </c>
      <c r="Q342" t="str">
        <v>INSTALACIONES HIDROSANITARIAS Y CONDUCCIONES: ALCANTARILLADO</v>
      </c>
      <c r="R342" t="str">
        <v>canalizacion tuberia pvc 110 mm</v>
      </c>
    </row>
    <row r="343">
      <c r="A343" t="str">
        <v>CAM-0338</v>
      </c>
      <c r="B343" t="str">
        <v>OBRA CIVIL</v>
      </c>
      <c r="C343" t="str">
        <v>14.0304</v>
      </c>
      <c r="D343" s="97" t="str">
        <v>CANALIZACIÓN TUBERÍA PVC 160 MM</v>
      </c>
      <c r="E343" t="str">
        <v>mtl</v>
      </c>
      <c r="F343" s="95" t="n">
        <v>13.26</v>
      </c>
      <c r="G343" s="95" t="n">
        <v>3.99</v>
      </c>
      <c r="H343" s="95" t="n">
        <v>0.2</v>
      </c>
      <c r="I343" s="95" t="n">
        <v>17.45</v>
      </c>
      <c r="J343" s="96" t="n">
        <v>0.22</v>
      </c>
      <c r="K343" s="95" t="n">
        <f>I343*(1+J343)</f>
        <v>21.288999999999998</v>
      </c>
      <c r="L343" s="96" t="n">
        <v>0.3</v>
      </c>
      <c r="M343" s="95" t="n">
        <f>K343*(1+L343)</f>
        <v>27.6757</v>
      </c>
      <c r="N343" t="str">
        <v>CAMICON · Quito</v>
      </c>
      <c r="O343" t="str">
        <v>Octubre–diciembre 2025</v>
      </c>
      <c r="P343" s="97" t="str">
        <v>REFERENCIAL QUITO · utilidad 30% provisional</v>
      </c>
      <c r="Q343" t="str">
        <v>INSTALACIONES HIDROSANITARIAS Y CONDUCCIONES: ALCANTARILLADO</v>
      </c>
      <c r="R343" t="str">
        <v>canalizacion tuberia pvc 160 mm</v>
      </c>
    </row>
    <row r="344">
      <c r="A344" t="str">
        <v>CAM-0339</v>
      </c>
      <c r="B344" t="str">
        <v>OBRA CIVIL</v>
      </c>
      <c r="C344" t="str">
        <v>14.0305</v>
      </c>
      <c r="D344" s="97" t="str">
        <v>PUNTO DE DESAGÜE DE PVC 50 MM ,INC. ACCESORIOS</v>
      </c>
      <c r="E344" t="str">
        <v>pto</v>
      </c>
      <c r="F344" s="95" t="n">
        <v>11.14</v>
      </c>
      <c r="G344" s="95" t="n">
        <v>17.97</v>
      </c>
      <c r="H344" s="95" t="n">
        <v>0.9</v>
      </c>
      <c r="I344" s="95" t="n">
        <v>30.01</v>
      </c>
      <c r="J344" s="96" t="n">
        <v>0.22</v>
      </c>
      <c r="K344" s="95" t="n">
        <f>I344*(1+J344)</f>
        <v>36.6122</v>
      </c>
      <c r="L344" s="96" t="n">
        <v>0.3</v>
      </c>
      <c r="M344" s="95" t="n">
        <f>K344*(1+L344)</f>
        <v>47.59586</v>
      </c>
      <c r="N344" t="str">
        <v>CAMICON · Quito</v>
      </c>
      <c r="O344" t="str">
        <v>Octubre–diciembre 2025</v>
      </c>
      <c r="P344" s="97" t="str">
        <v>REFERENCIAL QUITO · utilidad 30% provisional</v>
      </c>
      <c r="Q344" t="str">
        <v>INSTALACIONES HIDROSANITARIAS Y CONDUCCIONES: ALCANTARILLADO</v>
      </c>
      <c r="R344" t="str">
        <v>punto de desague de pvc 50 mm ,inc. accesorios</v>
      </c>
    </row>
    <row r="345">
      <c r="A345" t="str">
        <v>CAM-0340</v>
      </c>
      <c r="B345" t="str">
        <v>OBRA CIVIL</v>
      </c>
      <c r="C345" t="str">
        <v>14.0306</v>
      </c>
      <c r="D345" s="97" t="str">
        <v>PUNTO DE DESAGÜE DE PVC 75 MM ,INC. ACCESORIOS</v>
      </c>
      <c r="E345" t="str">
        <v>pto</v>
      </c>
      <c r="F345" s="95" t="n">
        <v>23.08</v>
      </c>
      <c r="G345" s="95" t="n">
        <v>18.41</v>
      </c>
      <c r="H345" s="95" t="n">
        <v>0.92</v>
      </c>
      <c r="I345" s="95" t="n">
        <v>42.41</v>
      </c>
      <c r="J345" s="96" t="n">
        <v>0.22</v>
      </c>
      <c r="K345" s="95" t="n">
        <f>I345*(1+J345)</f>
        <v>51.740199999999994</v>
      </c>
      <c r="L345" s="96" t="n">
        <v>0.3</v>
      </c>
      <c r="M345" s="95" t="n">
        <f>K345*(1+L345)</f>
        <v>67.26226</v>
      </c>
      <c r="N345" t="str">
        <v>CAMICON · Quito</v>
      </c>
      <c r="O345" t="str">
        <v>Octubre–diciembre 2025</v>
      </c>
      <c r="P345" s="97" t="str">
        <v>REFERENCIAL QUITO · utilidad 30% provisional</v>
      </c>
      <c r="Q345" t="str">
        <v>INSTALACIONES HIDROSANITARIAS Y CONDUCCIONES: ALCANTARILLADO</v>
      </c>
      <c r="R345" t="str">
        <v>punto de desague de pvc 75 mm ,inc. accesorios</v>
      </c>
    </row>
    <row r="346">
      <c r="A346" t="str">
        <v>CAM-0341</v>
      </c>
      <c r="B346" t="str">
        <v>OBRA CIVIL</v>
      </c>
      <c r="C346" t="str">
        <v>14.0307</v>
      </c>
      <c r="D346" s="97" t="str">
        <v>PUNTO DE DESAGÜE DE PVC 110 MM, INC. ACCESORIOS</v>
      </c>
      <c r="E346" t="str">
        <v>pto</v>
      </c>
      <c r="F346" s="95" t="n">
        <v>31.3</v>
      </c>
      <c r="G346" s="95" t="n">
        <v>18.87</v>
      </c>
      <c r="H346" s="95" t="n">
        <v>0.94</v>
      </c>
      <c r="I346" s="95" t="n">
        <v>51.11</v>
      </c>
      <c r="J346" s="96" t="n">
        <v>0.22</v>
      </c>
      <c r="K346" s="95" t="n">
        <f>I346*(1+J346)</f>
        <v>62.3542</v>
      </c>
      <c r="L346" s="96" t="n">
        <v>0.3</v>
      </c>
      <c r="M346" s="95" t="n">
        <f>K346*(1+L346)</f>
        <v>81.06046</v>
      </c>
      <c r="N346" t="str">
        <v>CAMICON · Quito</v>
      </c>
      <c r="O346" t="str">
        <v>Octubre–diciembre 2025</v>
      </c>
      <c r="P346" s="97" t="str">
        <v>REFERENCIAL QUITO · utilidad 30% provisional</v>
      </c>
      <c r="Q346" t="str">
        <v>INSTALACIONES HIDROSANITARIAS Y CONDUCCIONES: ALCANTARILLADO</v>
      </c>
      <c r="R346" t="str">
        <v>punto de desague de pvc 110 mm, inc. accesorios</v>
      </c>
    </row>
    <row r="347">
      <c r="A347" t="str">
        <v>CAM-0342</v>
      </c>
      <c r="B347" t="str">
        <v>OBRA CIVIL</v>
      </c>
      <c r="C347" t="str">
        <v>14.0401</v>
      </c>
      <c r="D347" s="97" t="str">
        <v>TUBO VENTILACIÓN PVC 50 MM</v>
      </c>
      <c r="E347" t="str">
        <v>mtl</v>
      </c>
      <c r="F347" s="95" t="n">
        <v>2.12</v>
      </c>
      <c r="G347" s="95" t="n">
        <v>1.62</v>
      </c>
      <c r="H347" s="95" t="n">
        <v>0.08</v>
      </c>
      <c r="I347" s="95" t="n">
        <v>3.82</v>
      </c>
      <c r="J347" s="96" t="n">
        <v>0.22</v>
      </c>
      <c r="K347" s="95" t="n">
        <f>I347*(1+J347)</f>
        <v>4.6604</v>
      </c>
      <c r="L347" s="96" t="n">
        <v>0.3</v>
      </c>
      <c r="M347" s="95" t="n">
        <f>K347*(1+L347)</f>
        <v>6.058520000000001</v>
      </c>
      <c r="N347" t="str">
        <v>CAMICON · Quito</v>
      </c>
      <c r="O347" t="str">
        <v>Octubre–diciembre 2025</v>
      </c>
      <c r="P347" s="97" t="str">
        <v>REFERENCIAL QUITO · utilidad 30% provisional</v>
      </c>
      <c r="Q347" t="str">
        <v>INSTALACIONES HIDROSANITARIAS Y CONDUCCIONES: ALCANTARILLADO</v>
      </c>
      <c r="R347" t="str">
        <v>tubo ventilacion pvc 50 mm</v>
      </c>
    </row>
    <row r="348">
      <c r="A348" t="str">
        <v>CAM-0343</v>
      </c>
      <c r="B348" t="str">
        <v>OBRA CIVIL</v>
      </c>
      <c r="C348" t="str">
        <v>14.0402</v>
      </c>
      <c r="D348" s="97" t="str">
        <v>TUBO VENTILACIÓN PVC 75 MM</v>
      </c>
      <c r="E348" t="str">
        <v>mtl</v>
      </c>
      <c r="F348" s="95" t="n">
        <v>3.85</v>
      </c>
      <c r="G348" s="95" t="n">
        <v>2.47</v>
      </c>
      <c r="H348" s="95" t="n">
        <v>0.12</v>
      </c>
      <c r="I348" s="95" t="n">
        <v>6.44</v>
      </c>
      <c r="J348" s="96" t="n">
        <v>0.22</v>
      </c>
      <c r="K348" s="95" t="n">
        <f>I348*(1+J348)</f>
        <v>7.856800000000001</v>
      </c>
      <c r="L348" s="96" t="n">
        <v>0.3</v>
      </c>
      <c r="M348" s="95" t="n">
        <f>K348*(1+L348)</f>
        <v>10.213840000000001</v>
      </c>
      <c r="N348" t="str">
        <v>CAMICON · Quito</v>
      </c>
      <c r="O348" t="str">
        <v>Octubre–diciembre 2025</v>
      </c>
      <c r="P348" s="97" t="str">
        <v>REFERENCIAL QUITO · utilidad 30% provisional</v>
      </c>
      <c r="Q348" t="str">
        <v>INSTALACIONES HIDROSANITARIAS Y CONDUCCIONES: ALCANTARILLADO</v>
      </c>
      <c r="R348" t="str">
        <v>tubo ventilacion pvc 75 mm</v>
      </c>
    </row>
    <row r="349">
      <c r="A349" t="str">
        <v>CAM-0344</v>
      </c>
      <c r="B349" t="str">
        <v>OBRA CIVIL</v>
      </c>
      <c r="C349" t="str">
        <v>14.0403</v>
      </c>
      <c r="D349" s="97" t="str">
        <v>TUBO VENTILACIÓN PVC 110 MM</v>
      </c>
      <c r="E349" t="str">
        <v>mtl</v>
      </c>
      <c r="F349" s="95" t="n">
        <v>4.92</v>
      </c>
      <c r="G349" s="95" t="n">
        <v>3.38</v>
      </c>
      <c r="H349" s="95" t="n">
        <v>0.17</v>
      </c>
      <c r="I349" s="95" t="n">
        <v>8.47</v>
      </c>
      <c r="J349" s="96" t="n">
        <v>0.22</v>
      </c>
      <c r="K349" s="95" t="n">
        <f>I349*(1+J349)</f>
        <v>10.333400000000001</v>
      </c>
      <c r="L349" s="96" t="n">
        <v>0.3</v>
      </c>
      <c r="M349" s="95" t="n">
        <f>K349*(1+L349)</f>
        <v>13.433420000000002</v>
      </c>
      <c r="N349" t="str">
        <v>CAMICON · Quito</v>
      </c>
      <c r="O349" t="str">
        <v>Octubre–diciembre 2025</v>
      </c>
      <c r="P349" s="97" t="str">
        <v>REFERENCIAL QUITO · utilidad 30% provisional</v>
      </c>
      <c r="Q349" t="str">
        <v>INSTALACIONES HIDROSANITARIAS Y CONDUCCIONES: ALCANTARILLADO</v>
      </c>
      <c r="R349" t="str">
        <v>tubo ventilacion pvc 110 mm</v>
      </c>
    </row>
    <row r="350">
      <c r="A350" t="str">
        <v>CAM-0345</v>
      </c>
      <c r="B350" t="str">
        <v>OBRA CIVIL</v>
      </c>
      <c r="C350" t="str">
        <v>14.0501</v>
      </c>
      <c r="D350" s="97" t="str">
        <v>COLECTOR H.A S=0.60X0.60 M</v>
      </c>
      <c r="E350" t="str">
        <v>mtl</v>
      </c>
      <c r="F350" s="95" t="n">
        <v>190.46</v>
      </c>
      <c r="G350" s="95" t="n">
        <v>59.53</v>
      </c>
      <c r="H350" s="95" t="n">
        <v>10.1</v>
      </c>
      <c r="I350" s="95" t="n">
        <v>260.09</v>
      </c>
      <c r="J350" s="96" t="n">
        <v>0.22</v>
      </c>
      <c r="K350" s="95" t="n">
        <f>I350*(1+J350)</f>
        <v>317.30979999999994</v>
      </c>
      <c r="L350" s="96" t="n">
        <v>0.3</v>
      </c>
      <c r="M350" s="95" t="n">
        <f>K350*(1+L350)</f>
        <v>412.50273999999996</v>
      </c>
      <c r="N350" t="str">
        <v>CAMICON · Quito</v>
      </c>
      <c r="O350" t="str">
        <v>Octubre–diciembre 2025</v>
      </c>
      <c r="P350" s="97" t="str">
        <v>REFERENCIAL QUITO · utilidad 30% provisional</v>
      </c>
      <c r="Q350" t="str">
        <v>INSTALACIONES HIDROSANITARIAS Y CONDUCCIONES: ALCANTARILLADO</v>
      </c>
      <c r="R350" t="str">
        <v>colector h.a s=0.60x0.60 m</v>
      </c>
    </row>
    <row r="351">
      <c r="A351" t="str">
        <v>CAM-0346</v>
      </c>
      <c r="B351" t="str">
        <v>OBRA CIVIL</v>
      </c>
      <c r="C351" t="str">
        <v>14.0502</v>
      </c>
      <c r="D351" s="97" t="str">
        <v>COLECTOR H.A S=0.80X1.00 M</v>
      </c>
      <c r="E351" t="str">
        <v>mtl</v>
      </c>
      <c r="F351" s="95" t="n">
        <v>277.83</v>
      </c>
      <c r="G351" s="95" t="n">
        <v>84.83</v>
      </c>
      <c r="H351" s="95" t="n">
        <v>14.01</v>
      </c>
      <c r="I351" s="95" t="n">
        <v>376.67</v>
      </c>
      <c r="J351" s="96" t="n">
        <v>0.22</v>
      </c>
      <c r="K351" s="95" t="n">
        <f>I351*(1+J351)</f>
        <v>459.5374</v>
      </c>
      <c r="L351" s="96" t="n">
        <v>0.3</v>
      </c>
      <c r="M351" s="95" t="n">
        <f>K351*(1+L351)</f>
        <v>597.39862</v>
      </c>
      <c r="N351" t="str">
        <v>CAMICON · Quito</v>
      </c>
      <c r="O351" t="str">
        <v>Octubre–diciembre 2025</v>
      </c>
      <c r="P351" s="97" t="str">
        <v>REFERENCIAL QUITO · utilidad 30% provisional</v>
      </c>
      <c r="Q351" t="str">
        <v>INSTALACIONES HIDROSANITARIAS Y CONDUCCIONES: ALCANTARILLADO</v>
      </c>
      <c r="R351" t="str">
        <v>colector h.a s=0.80x1.00 m</v>
      </c>
    </row>
    <row r="352">
      <c r="A352" t="str">
        <v>CAM-0347</v>
      </c>
      <c r="B352" t="str">
        <v>OBRA CIVIL</v>
      </c>
      <c r="C352" t="str">
        <v>14.0503</v>
      </c>
      <c r="D352" s="97" t="str">
        <v>COLECTOR H.A S=0.80X1.20 M</v>
      </c>
      <c r="E352" t="str">
        <v>mtl</v>
      </c>
      <c r="F352" s="95" t="n">
        <v>312.94</v>
      </c>
      <c r="G352" s="95" t="n">
        <v>94.58</v>
      </c>
      <c r="H352" s="95" t="n">
        <v>15.61</v>
      </c>
      <c r="I352" s="95" t="n">
        <v>423.13</v>
      </c>
      <c r="J352" s="96" t="n">
        <v>0.22</v>
      </c>
      <c r="K352" s="95" t="n">
        <f>I352*(1+J352)</f>
        <v>516.2186</v>
      </c>
      <c r="L352" s="96" t="n">
        <v>0.3</v>
      </c>
      <c r="M352" s="95" t="n">
        <f>K352*(1+L352)</f>
        <v>671.0841800000001</v>
      </c>
      <c r="N352" t="str">
        <v>CAMICON · Quito</v>
      </c>
      <c r="O352" t="str">
        <v>Octubre–diciembre 2025</v>
      </c>
      <c r="P352" s="97" t="str">
        <v>REFERENCIAL QUITO · utilidad 30% provisional</v>
      </c>
      <c r="Q352" t="str">
        <v>INSTALACIONES HIDROSANITARIAS Y CONDUCCIONES: ALCANTARILLADO</v>
      </c>
      <c r="R352" t="str">
        <v>colector h.a s=0.80x1.20 m</v>
      </c>
    </row>
    <row r="353">
      <c r="A353" t="str">
        <v>CAM-0348</v>
      </c>
      <c r="B353" t="str">
        <v>OBRA CIVIL</v>
      </c>
      <c r="C353" t="str">
        <v>14.0504</v>
      </c>
      <c r="D353" s="97" t="str">
        <v>COLECTOR H.A S=1.00X1.00 M</v>
      </c>
      <c r="E353" t="str">
        <v>mtl</v>
      </c>
      <c r="F353" s="95" t="n">
        <v>308.48</v>
      </c>
      <c r="G353" s="95" t="n">
        <v>103.18</v>
      </c>
      <c r="H353" s="95" t="n">
        <v>15.79</v>
      </c>
      <c r="I353" s="95" t="n">
        <v>427.45</v>
      </c>
      <c r="J353" s="96" t="n">
        <v>0.22</v>
      </c>
      <c r="K353" s="95" t="n">
        <f>I353*(1+J353)</f>
        <v>521.4889999999999</v>
      </c>
      <c r="L353" s="96" t="n">
        <v>0.3</v>
      </c>
      <c r="M353" s="95" t="n">
        <f>K353*(1+L353)</f>
        <v>677.9356999999999</v>
      </c>
      <c r="N353" t="str">
        <v>CAMICON · Quito</v>
      </c>
      <c r="O353" t="str">
        <v>Octubre–diciembre 2025</v>
      </c>
      <c r="P353" s="97" t="str">
        <v>REFERENCIAL QUITO · utilidad 30% provisional</v>
      </c>
      <c r="Q353" t="str">
        <v>INSTALACIONES HIDROSANITARIAS Y CONDUCCIONES: ALCANTARILLADO</v>
      </c>
      <c r="R353" t="str">
        <v>colector h.a s=1.00x1.00 m</v>
      </c>
    </row>
    <row r="354">
      <c r="A354" t="str">
        <v>CAM-0349</v>
      </c>
      <c r="B354" t="str">
        <v>OBRA CIVIL</v>
      </c>
      <c r="C354" t="str">
        <v>14.0505</v>
      </c>
      <c r="D354" s="97" t="str">
        <v>COLECTOR H.A S=1.00X1.20 M</v>
      </c>
      <c r="E354" t="str">
        <v>mtl</v>
      </c>
      <c r="F354" s="95" t="n">
        <v>355.67</v>
      </c>
      <c r="G354" s="95" t="n">
        <v>128.5</v>
      </c>
      <c r="H354" s="95" t="n">
        <v>17.98</v>
      </c>
      <c r="I354" s="95" t="n">
        <v>502.15</v>
      </c>
      <c r="J354" s="96" t="n">
        <v>0.22</v>
      </c>
      <c r="K354" s="95" t="n">
        <f>I354*(1+J354)</f>
        <v>612.6229999999999</v>
      </c>
      <c r="L354" s="96" t="n">
        <v>0.3</v>
      </c>
      <c r="M354" s="95" t="n">
        <f>K354*(1+L354)</f>
        <v>796.4099</v>
      </c>
      <c r="N354" t="str">
        <v>CAMICON · Quito</v>
      </c>
      <c r="O354" t="str">
        <v>Octubre–diciembre 2025</v>
      </c>
      <c r="P354" s="97" t="str">
        <v>REFERENCIAL QUITO · utilidad 30% provisional</v>
      </c>
      <c r="Q354" t="str">
        <v>INSTALACIONES HIDROSANITARIAS Y CONDUCCIONES: ALCANTARILLADO</v>
      </c>
      <c r="R354" t="str">
        <v>colector h.a s=1.00x1.20 m</v>
      </c>
    </row>
    <row r="355">
      <c r="A355" t="str">
        <v>CAM-0350</v>
      </c>
      <c r="B355" t="str">
        <v>OBRA CIVIL</v>
      </c>
      <c r="C355" t="str">
        <v>14.0506</v>
      </c>
      <c r="D355" s="97" t="str">
        <v>COLECTOR TIPO BAUL H.A S=1.20X1.80 M</v>
      </c>
      <c r="E355" t="str">
        <v>mtl</v>
      </c>
      <c r="F355" s="95" t="n">
        <v>548.18</v>
      </c>
      <c r="G355" s="95" t="n">
        <v>165.35</v>
      </c>
      <c r="H355" s="95" t="n">
        <v>23.41</v>
      </c>
      <c r="I355" s="95" t="n">
        <v>736.94</v>
      </c>
      <c r="J355" s="96" t="n">
        <v>0.22</v>
      </c>
      <c r="K355" s="95" t="n">
        <f>I355*(1+J355)</f>
        <v>899.0668000000001</v>
      </c>
      <c r="L355" s="96" t="n">
        <v>0.3</v>
      </c>
      <c r="M355" s="95" t="n">
        <f>K355*(1+L355)</f>
        <v>1168.7868400000002</v>
      </c>
      <c r="N355" t="str">
        <v>CAMICON · Quito</v>
      </c>
      <c r="O355" t="str">
        <v>Octubre–diciembre 2025</v>
      </c>
      <c r="P355" s="97" t="str">
        <v>REFERENCIAL QUITO · utilidad 30% provisional</v>
      </c>
      <c r="Q355" t="str">
        <v>INSTALACIONES HIDROSANITARIAS Y CONDUCCIONES: ALCANTARILLADO</v>
      </c>
      <c r="R355" t="str">
        <v>colector tipo baul h.a s=1.20x1.80 m</v>
      </c>
    </row>
    <row r="356">
      <c r="A356" t="str">
        <v>CAM-0351</v>
      </c>
      <c r="B356" t="str">
        <v>OBRA CIVIL</v>
      </c>
      <c r="C356" t="str">
        <v>14.0601</v>
      </c>
      <c r="D356" s="97" t="str">
        <v>ALZADA DE POZOS JABONCILLO H=40CM</v>
      </c>
      <c r="E356" t="str">
        <v>u</v>
      </c>
      <c r="F356" s="95" t="n">
        <v>11.87</v>
      </c>
      <c r="G356" s="95" t="n">
        <v>28.65</v>
      </c>
      <c r="H356" s="95" t="n">
        <v>1.43</v>
      </c>
      <c r="I356" s="95" t="n">
        <v>41.95</v>
      </c>
      <c r="J356" s="96" t="n">
        <v>0.22</v>
      </c>
      <c r="K356" s="95" t="n">
        <f>I356*(1+J356)</f>
        <v>51.179</v>
      </c>
      <c r="L356" s="96" t="n">
        <v>0.3</v>
      </c>
      <c r="M356" s="95" t="n">
        <f>K356*(1+L356)</f>
        <v>66.5327</v>
      </c>
      <c r="N356" t="str">
        <v>CAMICON · Quito</v>
      </c>
      <c r="O356" t="str">
        <v>Octubre–diciembre 2025</v>
      </c>
      <c r="P356" s="97" t="str">
        <v>REFERENCIAL QUITO · utilidad 30% provisional</v>
      </c>
      <c r="Q356" t="str">
        <v>INSTALACIONES HIDROSANITARIAS Y CONDUCCIONES: ALCANTARILLADO</v>
      </c>
      <c r="R356" t="str">
        <v>alzada de pozos jaboncillo h=40cm</v>
      </c>
    </row>
    <row r="357">
      <c r="A357" t="str">
        <v>CAM-0352</v>
      </c>
      <c r="B357" t="str">
        <v>OBRA CIVIL</v>
      </c>
      <c r="C357" t="str">
        <v>14.0602</v>
      </c>
      <c r="D357" s="97" t="str">
        <v>BAJANTES DE AGUAS LLUVIAS 110 MM. UNION CODO - INSTALACIÓN</v>
      </c>
      <c r="E357" t="str">
        <v>mtl</v>
      </c>
      <c r="F357" s="95" t="n">
        <v>6.35</v>
      </c>
      <c r="G357" s="95" t="n">
        <v>3.02</v>
      </c>
      <c r="H357" s="95" t="n">
        <v>0.15</v>
      </c>
      <c r="I357" s="95" t="n">
        <v>9.52</v>
      </c>
      <c r="J357" s="96" t="n">
        <v>0.22</v>
      </c>
      <c r="K357" s="95" t="n">
        <f>I357*(1+J357)</f>
        <v>11.6144</v>
      </c>
      <c r="L357" s="96" t="n">
        <v>0.3</v>
      </c>
      <c r="M357" s="95" t="n">
        <f>K357*(1+L357)</f>
        <v>15.09872</v>
      </c>
      <c r="N357" t="str">
        <v>CAMICON · Quito</v>
      </c>
      <c r="O357" t="str">
        <v>Octubre–diciembre 2025</v>
      </c>
      <c r="P357" s="97" t="str">
        <v>REFERENCIAL QUITO · utilidad 30% provisional</v>
      </c>
      <c r="Q357" t="str">
        <v>INSTALACIONES HIDROSANITARIAS Y CONDUCCIONES: ALCANTARILLADO</v>
      </c>
      <c r="R357" t="str">
        <v>bajantes de aguas lluvias 110 mm. union codo - instalacion</v>
      </c>
    </row>
    <row r="358">
      <c r="A358" t="str">
        <v>CAM-0353</v>
      </c>
      <c r="B358" t="str">
        <v>OBRA CIVIL</v>
      </c>
      <c r="C358" t="str">
        <v>14.0603</v>
      </c>
      <c r="D358" s="97" t="str">
        <v>CAJA DE REVISIÓN DE LADRILLO MAMBRON (0.60X0.60X0.60 M) CON TAPA - INSTALACIÓN</v>
      </c>
      <c r="E358" t="str">
        <v>u</v>
      </c>
      <c r="F358" s="95" t="n">
        <v>57.77</v>
      </c>
      <c r="G358" s="95" t="n">
        <v>22.47</v>
      </c>
      <c r="H358" s="95" t="n">
        <v>1.35</v>
      </c>
      <c r="I358" s="95" t="n">
        <v>81.59</v>
      </c>
      <c r="J358" s="96" t="n">
        <v>0.22</v>
      </c>
      <c r="K358" s="95" t="n">
        <f>I358*(1+J358)</f>
        <v>99.5398</v>
      </c>
      <c r="L358" s="96" t="n">
        <v>0.3</v>
      </c>
      <c r="M358" s="95" t="n">
        <f>K358*(1+L358)</f>
        <v>129.40174000000002</v>
      </c>
      <c r="N358" t="str">
        <v>CAMICON · Quito</v>
      </c>
      <c r="O358" t="str">
        <v>Octubre–diciembre 2025</v>
      </c>
      <c r="P358" s="97" t="str">
        <v>REFERENCIAL QUITO · utilidad 30% provisional</v>
      </c>
      <c r="Q358" t="str">
        <v>INSTALACIONES HIDROSANITARIAS Y CONDUCCIONES: ALCANTARILLADO</v>
      </c>
      <c r="R358" t="str">
        <v>caja de revision de ladrillo mambron (0.60x0.60x0.60 m) con tapa - instalacion</v>
      </c>
    </row>
    <row r="359">
      <c r="A359" t="str">
        <v>CAM-0354</v>
      </c>
      <c r="B359" t="str">
        <v>OBRA CIVIL</v>
      </c>
      <c r="C359" t="str">
        <v>14.0604</v>
      </c>
      <c r="D359" s="97" t="str">
        <v>CANAL GALVANIZADO RECOLECTOR DE AGUAS LLUVIAS</v>
      </c>
      <c r="E359" t="str">
        <v>mtl</v>
      </c>
      <c r="F359" s="95" t="n">
        <v>1.47</v>
      </c>
      <c r="G359" s="95" t="n">
        <v>1.34</v>
      </c>
      <c r="H359" s="95" t="n">
        <v>1.27</v>
      </c>
      <c r="I359" s="95" t="n">
        <v>4.08</v>
      </c>
      <c r="J359" s="96" t="n">
        <v>0.22</v>
      </c>
      <c r="K359" s="95" t="n">
        <f>I359*(1+J359)</f>
        <v>4.9776</v>
      </c>
      <c r="L359" s="96" t="n">
        <v>0.3</v>
      </c>
      <c r="M359" s="95" t="n">
        <f>K359*(1+L359)</f>
        <v>6.47088</v>
      </c>
      <c r="N359" t="str">
        <v>CAMICON · Quito</v>
      </c>
      <c r="O359" t="str">
        <v>Octubre–diciembre 2025</v>
      </c>
      <c r="P359" s="97" t="str">
        <v>REFERENCIAL QUITO · utilidad 30% provisional</v>
      </c>
      <c r="Q359" t="str">
        <v>INSTALACIONES HIDROSANITARIAS Y CONDUCCIONES: ALCANTARILLADO</v>
      </c>
      <c r="R359" t="str">
        <v>canal galvanizado recolector de aguas lluvias</v>
      </c>
    </row>
    <row r="360">
      <c r="A360" t="str">
        <v>CAM-0355</v>
      </c>
      <c r="B360" t="str">
        <v>OBRA CIVIL</v>
      </c>
      <c r="C360" t="str">
        <v>14.0605</v>
      </c>
      <c r="D360" s="97" t="str">
        <v>POZO DE REVISIÓN 1.20 X 1.20 DE H.S INCLUYE TAPA DE ACERO</v>
      </c>
      <c r="E360" t="str">
        <v>mtl</v>
      </c>
      <c r="F360" s="95" t="n">
        <v>330.59</v>
      </c>
      <c r="G360" s="95" t="n">
        <v>99.28</v>
      </c>
      <c r="H360" s="95" t="n">
        <v>18.46</v>
      </c>
      <c r="I360" s="95" t="n">
        <v>448.33</v>
      </c>
      <c r="J360" s="96" t="n">
        <v>0.22</v>
      </c>
      <c r="K360" s="95" t="n">
        <f>I360*(1+J360)</f>
        <v>546.9626</v>
      </c>
      <c r="L360" s="96" t="n">
        <v>0.3</v>
      </c>
      <c r="M360" s="95" t="n">
        <f>K360*(1+L360)</f>
        <v>711.05138</v>
      </c>
      <c r="N360" t="str">
        <v>CAMICON · Quito</v>
      </c>
      <c r="O360" t="str">
        <v>Octubre–diciembre 2025</v>
      </c>
      <c r="P360" s="97" t="str">
        <v>REFERENCIAL QUITO · utilidad 30% provisional</v>
      </c>
      <c r="Q360" t="str">
        <v>INSTALACIONES HIDROSANITARIAS Y CONDUCCIONES: ALCANTARILLADO</v>
      </c>
      <c r="R360" t="str">
        <v>pozo de revision 1.20 x 1.20 de h.s incluye tapa de acero</v>
      </c>
    </row>
    <row r="361">
      <c r="A361" t="str">
        <v>CAM-0356</v>
      </c>
      <c r="B361" t="str">
        <v>OBRA CIVIL</v>
      </c>
      <c r="C361" t="str">
        <v>14.0606</v>
      </c>
      <c r="D361" s="97" t="str">
        <v>REFRACCIÓN DE POZOS DE ACCESO</v>
      </c>
      <c r="E361" t="str">
        <v>u</v>
      </c>
      <c r="F361" s="95" t="n">
        <v>18.2</v>
      </c>
      <c r="G361" s="95" t="n">
        <v>30.19</v>
      </c>
      <c r="H361" s="95" t="n">
        <v>9.56</v>
      </c>
      <c r="I361" s="95" t="n">
        <v>57.95</v>
      </c>
      <c r="J361" s="96" t="n">
        <v>0.22</v>
      </c>
      <c r="K361" s="95" t="n">
        <f>I361*(1+J361)</f>
        <v>70.699</v>
      </c>
      <c r="L361" s="96" t="n">
        <v>0.3</v>
      </c>
      <c r="M361" s="95" t="n">
        <f>K361*(1+L361)</f>
        <v>91.9087</v>
      </c>
      <c r="N361" t="str">
        <v>CAMICON · Quito</v>
      </c>
      <c r="O361" t="str">
        <v>Octubre–diciembre 2025</v>
      </c>
      <c r="P361" s="97" t="str">
        <v>REFERENCIAL QUITO · utilidad 30% provisional</v>
      </c>
      <c r="Q361" t="str">
        <v>INSTALACIONES HIDROSANITARIAS Y CONDUCCIONES: ALCANTARILLADO</v>
      </c>
      <c r="R361" t="str">
        <v>refraccion de pozos de acceso</v>
      </c>
    </row>
    <row r="362">
      <c r="A362" t="str">
        <v>CAM-0357</v>
      </c>
      <c r="B362" t="str">
        <v>OBRA CIVIL</v>
      </c>
      <c r="C362" t="str">
        <v>14.0607</v>
      </c>
      <c r="D362" s="97" t="str">
        <v>REJILLA DE DIM. 100 X 50 MM TIPO HONGO</v>
      </c>
      <c r="E362" t="str">
        <v>u</v>
      </c>
      <c r="F362" s="95" t="n">
        <v>18.43</v>
      </c>
      <c r="G362" s="95" t="n">
        <v>1.81</v>
      </c>
      <c r="H362" s="95" t="n">
        <v>0.09</v>
      </c>
      <c r="I362" s="95" t="n">
        <v>20.33</v>
      </c>
      <c r="J362" s="96" t="n">
        <v>0.22</v>
      </c>
      <c r="K362" s="95" t="n">
        <f>I362*(1+J362)</f>
        <v>24.802599999999998</v>
      </c>
      <c r="L362" s="96" t="n">
        <v>0.3</v>
      </c>
      <c r="M362" s="95" t="n">
        <f>K362*(1+L362)</f>
        <v>32.24338</v>
      </c>
      <c r="N362" t="str">
        <v>CAMICON · Quito</v>
      </c>
      <c r="O362" t="str">
        <v>Octubre–diciembre 2025</v>
      </c>
      <c r="P362" s="97" t="str">
        <v>REFERENCIAL QUITO · utilidad 30% provisional</v>
      </c>
      <c r="Q362" t="str">
        <v>INSTALACIONES HIDROSANITARIAS Y CONDUCCIONES: ALCANTARILLADO</v>
      </c>
      <c r="R362" t="str">
        <v>rejilla de dim. 100 x 50 mm tipo hongo</v>
      </c>
    </row>
    <row r="363">
      <c r="A363" t="str">
        <v>CAM-0358</v>
      </c>
      <c r="B363" t="str">
        <v>ACABADOS Y GYPSUM</v>
      </c>
      <c r="C363" t="str">
        <v>14.0608</v>
      </c>
      <c r="D363" s="97" t="str">
        <v>REJILLA DE PISO 50 MM - CROMADA</v>
      </c>
      <c r="E363" t="str">
        <v>u</v>
      </c>
      <c r="F363" s="95" t="n">
        <v>3.7</v>
      </c>
      <c r="G363" s="95" t="n">
        <v>1.81</v>
      </c>
      <c r="H363" s="95" t="n">
        <v>0.09</v>
      </c>
      <c r="I363" s="95" t="n">
        <v>5.6</v>
      </c>
      <c r="J363" s="96" t="n">
        <v>0.22</v>
      </c>
      <c r="K363" s="95" t="n">
        <f>I363*(1+J363)</f>
        <v>6.832</v>
      </c>
      <c r="L363" s="96" t="n">
        <v>0.3</v>
      </c>
      <c r="M363" s="95" t="n">
        <f>K363*(1+L363)</f>
        <v>8.8816</v>
      </c>
      <c r="N363" t="str">
        <v>CAMICON · Quito</v>
      </c>
      <c r="O363" t="str">
        <v>Octubre–diciembre 2025</v>
      </c>
      <c r="P363" s="97" t="str">
        <v>REFERENCIAL QUITO · utilidad 30% provisional</v>
      </c>
      <c r="Q363" t="str">
        <v>INSTALACIONES HIDROSANITARIAS Y CONDUCCIONES: ALCANTARILLADO</v>
      </c>
      <c r="R363" t="str">
        <v>rejilla de piso 50 mm - cromada</v>
      </c>
    </row>
    <row r="364">
      <c r="A364" t="str">
        <v>CAM-0359</v>
      </c>
      <c r="B364" t="str">
        <v>VIDRIO Y ALUMINIO</v>
      </c>
      <c r="C364" t="str">
        <v>14.0609</v>
      </c>
      <c r="D364" s="97" t="str">
        <v>REJILLA DE PISO 75 MM - ALUMINIO</v>
      </c>
      <c r="E364" t="str">
        <v>u</v>
      </c>
      <c r="F364" s="95" t="n">
        <v>3.7</v>
      </c>
      <c r="G364" s="95" t="n">
        <v>1.81</v>
      </c>
      <c r="H364" s="95" t="n">
        <v>0.09</v>
      </c>
      <c r="I364" s="95" t="n">
        <v>5.6</v>
      </c>
      <c r="J364" s="96" t="n">
        <v>0.22</v>
      </c>
      <c r="K364" s="95" t="n">
        <f>I364*(1+J364)</f>
        <v>6.832</v>
      </c>
      <c r="L364" s="96" t="n">
        <v>0.3</v>
      </c>
      <c r="M364" s="95" t="n">
        <f>K364*(1+L364)</f>
        <v>8.8816</v>
      </c>
      <c r="N364" t="str">
        <v>CAMICON · Quito</v>
      </c>
      <c r="O364" t="str">
        <v>Octubre–diciembre 2025</v>
      </c>
      <c r="P364" s="97" t="str">
        <v>REFERENCIAL QUITO · utilidad 30% provisional</v>
      </c>
      <c r="Q364" t="str">
        <v>INSTALACIONES HIDROSANITARIAS Y CONDUCCIONES: ALCANTARILLADO</v>
      </c>
      <c r="R364" t="str">
        <v>rejilla de piso 75 mm - aluminio</v>
      </c>
    </row>
    <row r="365">
      <c r="A365" t="str">
        <v>CAM-0360</v>
      </c>
      <c r="B365" t="str">
        <v>ACABADOS Y GYPSUM</v>
      </c>
      <c r="C365" t="str">
        <v>14.0610</v>
      </c>
      <c r="D365" s="97" t="str">
        <v>REJILLA DE PISO 110 MM</v>
      </c>
      <c r="E365" t="str">
        <v>u</v>
      </c>
      <c r="F365" s="95" t="n">
        <v>3.69</v>
      </c>
      <c r="G365" s="95" t="n">
        <v>1.81</v>
      </c>
      <c r="H365" s="95" t="n">
        <v>0.09</v>
      </c>
      <c r="I365" s="95" t="n">
        <v>5.59</v>
      </c>
      <c r="J365" s="96" t="n">
        <v>0.22</v>
      </c>
      <c r="K365" s="95" t="n">
        <f>I365*(1+J365)</f>
        <v>6.8198</v>
      </c>
      <c r="L365" s="96" t="n">
        <v>0.3</v>
      </c>
      <c r="M365" s="95" t="n">
        <f>K365*(1+L365)</f>
        <v>8.86574</v>
      </c>
      <c r="N365" t="str">
        <v>CAMICON · Quito</v>
      </c>
      <c r="O365" t="str">
        <v>Octubre–diciembre 2025</v>
      </c>
      <c r="P365" s="97" t="str">
        <v>REFERENCIAL QUITO · utilidad 30% provisional</v>
      </c>
      <c r="Q365" t="str">
        <v>INSTALACIONES HIDROSANITARIAS Y CONDUCCIONES: ALCANTARILLADO</v>
      </c>
      <c r="R365" t="str">
        <v>rejilla de piso 110 mm</v>
      </c>
    </row>
    <row r="366">
      <c r="A366" t="str">
        <v>CAM-0361</v>
      </c>
      <c r="B366" t="str">
        <v>OBRA CIVIL</v>
      </c>
      <c r="C366" t="str">
        <v>14.0611</v>
      </c>
      <c r="D366" s="97" t="str">
        <v>SUMIDERO PREFAB. CALZADA INCLUYE REJILLA HF</v>
      </c>
      <c r="E366" t="str">
        <v>u</v>
      </c>
      <c r="F366" s="95" t="n">
        <v>184.07</v>
      </c>
      <c r="G366" s="95" t="n">
        <v>27.23</v>
      </c>
      <c r="H366" s="95" t="n">
        <v>1.36</v>
      </c>
      <c r="I366" s="95" t="n">
        <v>212.66</v>
      </c>
      <c r="J366" s="96" t="n">
        <v>0.22</v>
      </c>
      <c r="K366" s="95" t="n">
        <f>I366*(1+J366)</f>
        <v>259.4452</v>
      </c>
      <c r="L366" s="96" t="n">
        <v>0.3</v>
      </c>
      <c r="M366" s="95" t="n">
        <f>K366*(1+L366)</f>
        <v>337.27876000000003</v>
      </c>
      <c r="N366" t="str">
        <v>CAMICON · Quito</v>
      </c>
      <c r="O366" t="str">
        <v>Octubre–diciembre 2025</v>
      </c>
      <c r="P366" s="97" t="str">
        <v>REFERENCIAL QUITO · utilidad 30% provisional</v>
      </c>
      <c r="Q366" t="str">
        <v>INSTALACIONES HIDROSANITARIAS Y CONDUCCIONES: ALCANTARILLADO</v>
      </c>
      <c r="R366" t="str">
        <v>sumidero prefab. calzada incluye rejilla hf</v>
      </c>
    </row>
    <row r="367">
      <c r="A367" t="str">
        <v>CAM-0362</v>
      </c>
      <c r="B367" t="str">
        <v>OBRA CIVIL</v>
      </c>
      <c r="C367" t="str">
        <v>15,0101</v>
      </c>
      <c r="D367" s="97" t="str">
        <v>CAMA DE ARENA H=10CM</v>
      </c>
      <c r="E367" t="str">
        <v>m²</v>
      </c>
      <c r="F367" s="95" t="n">
        <v>1.69</v>
      </c>
      <c r="G367" s="95" t="n">
        <v>0.67</v>
      </c>
      <c r="H367" s="95" t="n">
        <v>0.41</v>
      </c>
      <c r="I367" s="95" t="n">
        <v>2.77</v>
      </c>
      <c r="J367" s="96" t="n">
        <v>0.22</v>
      </c>
      <c r="K367" s="95" t="n">
        <f>I367*(1+J367)</f>
        <v>3.3794</v>
      </c>
      <c r="L367" s="96" t="n">
        <v>0.3</v>
      </c>
      <c r="M367" s="95" t="n">
        <f>K367*(1+L367)</f>
        <v>4.39322</v>
      </c>
      <c r="N367" t="str">
        <v>CAMICON · Quito</v>
      </c>
      <c r="O367" t="str">
        <v>Octubre–diciembre 2025</v>
      </c>
      <c r="P367" s="97" t="str">
        <v>REFERENCIAL QUITO · utilidad 30% provisional</v>
      </c>
      <c r="Q367" t="str">
        <v>MOVIMIENTO DE TIERRAS (AGUA POTABLE Y ALCANTARILLADO)</v>
      </c>
      <c r="R367" t="str">
        <v>cama de arena h=10cm</v>
      </c>
    </row>
    <row r="368">
      <c r="A368" t="str">
        <v>CAM-0363</v>
      </c>
      <c r="B368" t="str">
        <v>OBRA CIVIL</v>
      </c>
      <c r="C368" t="str">
        <v>15,0102</v>
      </c>
      <c r="D368" s="97" t="str">
        <v>EXCAVACIÓN A MÁQUINA CON RETROEXCAVADORA</v>
      </c>
      <c r="E368" t="str">
        <v>m³</v>
      </c>
      <c r="F368" s="95" t="n">
        <v>0</v>
      </c>
      <c r="G368" s="95" t="n">
        <v>0.63</v>
      </c>
      <c r="H368" s="95" t="n">
        <v>1.84</v>
      </c>
      <c r="I368" s="95" t="n">
        <v>2.47</v>
      </c>
      <c r="J368" s="96" t="n">
        <v>0.22</v>
      </c>
      <c r="K368" s="95" t="n">
        <f>I368*(1+J368)</f>
        <v>3.0134000000000003</v>
      </c>
      <c r="L368" s="96" t="n">
        <v>0.3</v>
      </c>
      <c r="M368" s="95" t="n">
        <f>K368*(1+L368)</f>
        <v>3.9174200000000003</v>
      </c>
      <c r="N368" t="str">
        <v>CAMICON · Quito</v>
      </c>
      <c r="O368" t="str">
        <v>Octubre–diciembre 2025</v>
      </c>
      <c r="P368" s="97" t="str">
        <v>REFERENCIAL QUITO · utilidad 30% provisional</v>
      </c>
      <c r="Q368" t="str">
        <v>MOVIMIENTO DE TIERRAS (AGUA POTABLE Y ALCANTARILLADO)</v>
      </c>
      <c r="R368" t="str">
        <v>excavacion a maquina con retroexcavadora</v>
      </c>
    </row>
    <row r="369">
      <c r="A369" t="str">
        <v>CAM-0364</v>
      </c>
      <c r="B369" t="str">
        <v>OBRA CIVIL</v>
      </c>
      <c r="C369" t="str">
        <v>15,0103</v>
      </c>
      <c r="D369" s="97" t="str">
        <v>EXCAVACIÓN DE ZANJAS A MANO EN CONGLOMERADO H= 0.00-2.75 M</v>
      </c>
      <c r="E369" t="str">
        <v>m³</v>
      </c>
      <c r="F369" s="95" t="n">
        <v>0</v>
      </c>
      <c r="G369" s="95" t="n">
        <v>14.98</v>
      </c>
      <c r="H369" s="95" t="n">
        <v>0.75</v>
      </c>
      <c r="I369" s="95" t="n">
        <v>15.73</v>
      </c>
      <c r="J369" s="96" t="n">
        <v>0.22</v>
      </c>
      <c r="K369" s="95" t="n">
        <f>I369*(1+J369)</f>
        <v>19.1906</v>
      </c>
      <c r="L369" s="96" t="n">
        <v>0.3</v>
      </c>
      <c r="M369" s="95" t="n">
        <f>K369*(1+L369)</f>
        <v>24.94778</v>
      </c>
      <c r="N369" t="str">
        <v>CAMICON · Quito</v>
      </c>
      <c r="O369" t="str">
        <v>Octubre–diciembre 2025</v>
      </c>
      <c r="P369" s="97" t="str">
        <v>REFERENCIAL QUITO · utilidad 30% provisional</v>
      </c>
      <c r="Q369" t="str">
        <v>MOVIMIENTO DE TIERRAS (AGUA POTABLE Y ALCANTARILLADO)</v>
      </c>
      <c r="R369" t="str">
        <v>excavacion de zanjas a mano en conglomerado h= 0.00-2.75 m</v>
      </c>
    </row>
    <row r="370">
      <c r="A370" t="str">
        <v>CAM-0365</v>
      </c>
      <c r="B370" t="str">
        <v>OBRA CIVIL</v>
      </c>
      <c r="C370" t="str">
        <v>15,0104</v>
      </c>
      <c r="D370" s="97" t="str">
        <v>EXCAVACIÓN DE ZANJAS A MANO EN TIERRA H= 0.00-2.75 M</v>
      </c>
      <c r="E370" t="str">
        <v>m³</v>
      </c>
      <c r="F370" s="95" t="n">
        <v>0</v>
      </c>
      <c r="G370" s="95" t="n">
        <v>11.52</v>
      </c>
      <c r="H370" s="95" t="n">
        <v>0.58</v>
      </c>
      <c r="I370" s="95" t="n">
        <v>12.1</v>
      </c>
      <c r="J370" s="96" t="n">
        <v>0.22</v>
      </c>
      <c r="K370" s="95" t="n">
        <f>I370*(1+J370)</f>
        <v>14.761999999999999</v>
      </c>
      <c r="L370" s="96" t="n">
        <v>0.3</v>
      </c>
      <c r="M370" s="95" t="n">
        <f>K370*(1+L370)</f>
        <v>19.1906</v>
      </c>
      <c r="N370" t="str">
        <v>CAMICON · Quito</v>
      </c>
      <c r="O370" t="str">
        <v>Octubre–diciembre 2025</v>
      </c>
      <c r="P370" s="97" t="str">
        <v>REFERENCIAL QUITO · utilidad 30% provisional</v>
      </c>
      <c r="Q370" t="str">
        <v>MOVIMIENTO DE TIERRAS (AGUA POTABLE Y ALCANTARILLADO)</v>
      </c>
      <c r="R370" t="str">
        <v>excavacion de zanjas a mano en tierra h= 0.00-2.75 m</v>
      </c>
    </row>
    <row r="371">
      <c r="A371" t="str">
        <v>CAM-0366</v>
      </c>
      <c r="B371" t="str">
        <v>OBRA CIVIL</v>
      </c>
      <c r="C371" t="str">
        <v>15,0105</v>
      </c>
      <c r="D371" s="97" t="str">
        <v>EXCAVACIÓN DE ZANJAS A MÁQUINA EN CONGLOMERADO H= 0-2.75 M</v>
      </c>
      <c r="E371" t="str">
        <v>m³</v>
      </c>
      <c r="F371" s="95" t="n">
        <v>0</v>
      </c>
      <c r="G371" s="95" t="n">
        <v>1.65</v>
      </c>
      <c r="H371" s="95" t="n">
        <v>4.48</v>
      </c>
      <c r="I371" s="95" t="n">
        <v>6.13</v>
      </c>
      <c r="J371" s="96" t="n">
        <v>0.22</v>
      </c>
      <c r="K371" s="95" t="n">
        <f>I371*(1+J371)</f>
        <v>7.4786</v>
      </c>
      <c r="L371" s="96" t="n">
        <v>0.3</v>
      </c>
      <c r="M371" s="95" t="n">
        <f>K371*(1+L371)</f>
        <v>9.72218</v>
      </c>
      <c r="N371" t="str">
        <v>CAMICON · Quito</v>
      </c>
      <c r="O371" t="str">
        <v>Octubre–diciembre 2025</v>
      </c>
      <c r="P371" s="97" t="str">
        <v>REFERENCIAL QUITO · utilidad 30% provisional</v>
      </c>
      <c r="Q371" t="str">
        <v>MOVIMIENTO DE TIERRAS (AGUA POTABLE Y ALCANTARILLADO)</v>
      </c>
      <c r="R371" t="str">
        <v>excavacion de zanjas a maquina en conglomerado h= 0-2.75 m</v>
      </c>
    </row>
    <row r="372">
      <c r="A372" t="str">
        <v>CAM-0367</v>
      </c>
      <c r="B372" t="str">
        <v>OBRA CIVIL</v>
      </c>
      <c r="C372" t="str">
        <v>15,0106</v>
      </c>
      <c r="D372" s="97" t="str">
        <v>EXCAVACIÓN DE ZANJAS A MÁQUINA EN CONGLOMERADO H= 2.76-4.00 M</v>
      </c>
      <c r="E372" t="str">
        <v>m³</v>
      </c>
      <c r="F372" s="95" t="n">
        <v>0</v>
      </c>
      <c r="G372" s="95" t="n">
        <v>3.44</v>
      </c>
      <c r="H372" s="95" t="n">
        <v>9.34</v>
      </c>
      <c r="I372" s="95" t="n">
        <v>12.78</v>
      </c>
      <c r="J372" s="96" t="n">
        <v>0.22</v>
      </c>
      <c r="K372" s="95" t="n">
        <f>I372*(1+J372)</f>
        <v>15.5916</v>
      </c>
      <c r="L372" s="96" t="n">
        <v>0.3</v>
      </c>
      <c r="M372" s="95" t="n">
        <f>K372*(1+L372)</f>
        <v>20.26908</v>
      </c>
      <c r="N372" t="str">
        <v>CAMICON · Quito</v>
      </c>
      <c r="O372" t="str">
        <v>Octubre–diciembre 2025</v>
      </c>
      <c r="P372" s="97" t="str">
        <v>REFERENCIAL QUITO · utilidad 30% provisional</v>
      </c>
      <c r="Q372" t="str">
        <v>MOVIMIENTO DE TIERRAS (AGUA POTABLE Y ALCANTARILLADO)</v>
      </c>
      <c r="R372" t="str">
        <v>excavacion de zanjas a maquina en conglomerado h= 2.76-4.00 m</v>
      </c>
    </row>
    <row r="373">
      <c r="A373" t="str">
        <v>CAM-0368</v>
      </c>
      <c r="B373" t="str">
        <v>OBRA CIVIL</v>
      </c>
      <c r="C373" t="str">
        <v>15,0107</v>
      </c>
      <c r="D373" s="97" t="str">
        <v>EXCAVACIÓN DE ZANJAS A MÁQUINA EN ROCA H= 0-2.75 M</v>
      </c>
      <c r="E373" t="str">
        <v>m³</v>
      </c>
      <c r="F373" s="95" t="n">
        <v>0</v>
      </c>
      <c r="G373" s="95" t="n">
        <v>4.81</v>
      </c>
      <c r="H373" s="95" t="n">
        <v>15.01</v>
      </c>
      <c r="I373" s="95" t="n">
        <v>19.82</v>
      </c>
      <c r="J373" s="96" t="n">
        <v>0.22</v>
      </c>
      <c r="K373" s="95" t="n">
        <f>I373*(1+J373)</f>
        <v>24.1804</v>
      </c>
      <c r="L373" s="96" t="n">
        <v>0.3</v>
      </c>
      <c r="M373" s="95" t="n">
        <f>K373*(1+L373)</f>
        <v>31.43452</v>
      </c>
      <c r="N373" t="str">
        <v>CAMICON · Quito</v>
      </c>
      <c r="O373" t="str">
        <v>Octubre–diciembre 2025</v>
      </c>
      <c r="P373" s="97" t="str">
        <v>REFERENCIAL QUITO · utilidad 30% provisional</v>
      </c>
      <c r="Q373" t="str">
        <v>MOVIMIENTO DE TIERRAS (AGUA POTABLE Y ALCANTARILLADO)</v>
      </c>
      <c r="R373" t="str">
        <v>excavacion de zanjas a maquina en roca h= 0-2.75 m</v>
      </c>
    </row>
    <row r="374">
      <c r="A374" t="str">
        <v>CAM-0369</v>
      </c>
      <c r="B374" t="str">
        <v>OBRA CIVIL</v>
      </c>
      <c r="C374" t="str">
        <v>15,0108</v>
      </c>
      <c r="D374" s="97" t="str">
        <v>EXCAVACIÓN DE ZANJAS A MÁQUINA EN ROCA H= 2.76-4.00 M</v>
      </c>
      <c r="E374" t="str">
        <v>m³</v>
      </c>
      <c r="F374" s="95" t="n">
        <v>0</v>
      </c>
      <c r="G374" s="95" t="n">
        <v>7.2</v>
      </c>
      <c r="H374" s="95" t="n">
        <v>22.51</v>
      </c>
      <c r="I374" s="95" t="n">
        <v>29.71</v>
      </c>
      <c r="J374" s="96" t="n">
        <v>0.22</v>
      </c>
      <c r="K374" s="95" t="n">
        <f>I374*(1+J374)</f>
        <v>36.2462</v>
      </c>
      <c r="L374" s="96" t="n">
        <v>0.3</v>
      </c>
      <c r="M374" s="95" t="n">
        <f>K374*(1+L374)</f>
        <v>47.12006</v>
      </c>
      <c r="N374" t="str">
        <v>CAMICON · Quito</v>
      </c>
      <c r="O374" t="str">
        <v>Octubre–diciembre 2025</v>
      </c>
      <c r="P374" s="97" t="str">
        <v>REFERENCIAL QUITO · utilidad 30% provisional</v>
      </c>
      <c r="Q374" t="str">
        <v>MOVIMIENTO DE TIERRAS (AGUA POTABLE Y ALCANTARILLADO)</v>
      </c>
      <c r="R374" t="str">
        <v>excavacion de zanjas a maquina en roca h= 2.76-4.00 m</v>
      </c>
    </row>
    <row r="375">
      <c r="A375" t="str">
        <v>CAM-0370</v>
      </c>
      <c r="B375" t="str">
        <v>OBRA CIVIL</v>
      </c>
      <c r="C375" t="str">
        <v>15,0109</v>
      </c>
      <c r="D375" s="97" t="str">
        <v>EXCAVACIÓN DE ZANJAS A MÁQUINA EN TIERRA H= 0-2.75 M</v>
      </c>
      <c r="E375" t="str">
        <v>m³</v>
      </c>
      <c r="F375" s="95" t="n">
        <v>0</v>
      </c>
      <c r="G375" s="95" t="n">
        <v>1.05</v>
      </c>
      <c r="H375" s="95" t="n">
        <v>2.84</v>
      </c>
      <c r="I375" s="95" t="n">
        <v>3.89</v>
      </c>
      <c r="J375" s="96" t="n">
        <v>0.22</v>
      </c>
      <c r="K375" s="95" t="n">
        <f>I375*(1+J375)</f>
        <v>4.7458</v>
      </c>
      <c r="L375" s="96" t="n">
        <v>0.3</v>
      </c>
      <c r="M375" s="95" t="n">
        <f>K375*(1+L375)</f>
        <v>6.1695400000000005</v>
      </c>
      <c r="N375" t="str">
        <v>CAMICON · Quito</v>
      </c>
      <c r="O375" t="str">
        <v>Octubre–diciembre 2025</v>
      </c>
      <c r="P375" s="97" t="str">
        <v>REFERENCIAL QUITO · utilidad 30% provisional</v>
      </c>
      <c r="Q375" t="str">
        <v>MOVIMIENTO DE TIERRAS (AGUA POTABLE Y ALCANTARILLADO)</v>
      </c>
      <c r="R375" t="str">
        <v>excavacion de zanjas a maquina en tierra h= 0-2.75 m</v>
      </c>
    </row>
    <row r="376">
      <c r="A376" t="str">
        <v>CAM-0371</v>
      </c>
      <c r="B376" t="str">
        <v>OBRA CIVIL</v>
      </c>
      <c r="C376" t="str">
        <v>15,0110</v>
      </c>
      <c r="D376" s="97" t="str">
        <v>EXCAVACIÓN DE ZANJAS A MÁQUINA EN TIERRA H= 2.76-4.00 M</v>
      </c>
      <c r="E376" t="str">
        <v>m³</v>
      </c>
      <c r="F376" s="95" t="n">
        <v>0</v>
      </c>
      <c r="G376" s="95" t="n">
        <v>1.79</v>
      </c>
      <c r="H376" s="95" t="n">
        <v>4.86</v>
      </c>
      <c r="I376" s="95" t="n">
        <v>6.65</v>
      </c>
      <c r="J376" s="96" t="n">
        <v>0.22</v>
      </c>
      <c r="K376" s="95" t="n">
        <f>I376*(1+J376)</f>
        <v>8.113</v>
      </c>
      <c r="L376" s="96" t="n">
        <v>0.3</v>
      </c>
      <c r="M376" s="95" t="n">
        <f>K376*(1+L376)</f>
        <v>10.546899999999999</v>
      </c>
      <c r="N376" t="str">
        <v>CAMICON · Quito</v>
      </c>
      <c r="O376" t="str">
        <v>Octubre–diciembre 2025</v>
      </c>
      <c r="P376" s="97" t="str">
        <v>REFERENCIAL QUITO · utilidad 30% provisional</v>
      </c>
      <c r="Q376" t="str">
        <v>MOVIMIENTO DE TIERRAS (AGUA POTABLE Y ALCANTARILLADO)</v>
      </c>
      <c r="R376" t="str">
        <v>excavacion de zanjas a maquina en tierra h= 2.76-4.00 m</v>
      </c>
    </row>
    <row r="377">
      <c r="A377" t="str">
        <v>CAM-0372</v>
      </c>
      <c r="B377" t="str">
        <v>OBRA CIVIL</v>
      </c>
      <c r="C377" t="str">
        <v>15,0111</v>
      </c>
      <c r="D377" s="97" t="str">
        <v>EXCAVACIÓN Y RELLENO PARA ESTRUCTURAS MENORES</v>
      </c>
      <c r="E377" t="str">
        <v>m³</v>
      </c>
      <c r="F377" s="95" t="n">
        <v>0.36</v>
      </c>
      <c r="G377" s="95" t="n">
        <v>13.95</v>
      </c>
      <c r="H377" s="95" t="n">
        <v>23.28</v>
      </c>
      <c r="I377" s="95" t="n">
        <v>37.59</v>
      </c>
      <c r="J377" s="96" t="n">
        <v>0.22</v>
      </c>
      <c r="K377" s="95" t="n">
        <f>I377*(1+J377)</f>
        <v>45.8598</v>
      </c>
      <c r="L377" s="96" t="n">
        <v>0.3</v>
      </c>
      <c r="M377" s="95" t="n">
        <f>K377*(1+L377)</f>
        <v>59.617740000000005</v>
      </c>
      <c r="N377" t="str">
        <v>CAMICON · Quito</v>
      </c>
      <c r="O377" t="str">
        <v>Octubre–diciembre 2025</v>
      </c>
      <c r="P377" s="97" t="str">
        <v>REFERENCIAL QUITO · utilidad 30% provisional</v>
      </c>
      <c r="Q377" t="str">
        <v>MOVIMIENTO DE TIERRAS (AGUA POTABLE Y ALCANTARILLADO)</v>
      </c>
      <c r="R377" t="str">
        <v>excavacion y relleno para estructuras menores</v>
      </c>
    </row>
    <row r="378">
      <c r="A378" t="str">
        <v>CAM-0373</v>
      </c>
      <c r="B378" t="str">
        <v>OBRA CIVIL</v>
      </c>
      <c r="C378" t="str">
        <v>15,0112</v>
      </c>
      <c r="D378" s="97" t="str">
        <v>RELLENO DE ZANJA COMPACTADO CON MATERIAL DE SITIO</v>
      </c>
      <c r="E378" t="str">
        <v>m³</v>
      </c>
      <c r="F378" s="95" t="n">
        <v>0</v>
      </c>
      <c r="G378" s="95" t="n">
        <v>4.74</v>
      </c>
      <c r="H378" s="95" t="n">
        <v>2.96</v>
      </c>
      <c r="I378" s="95" t="n">
        <v>7.7</v>
      </c>
      <c r="J378" s="96" t="n">
        <v>0.22</v>
      </c>
      <c r="K378" s="95" t="n">
        <f>I378*(1+J378)</f>
        <v>9.394</v>
      </c>
      <c r="L378" s="96" t="n">
        <v>0.3</v>
      </c>
      <c r="M378" s="95" t="n">
        <f>K378*(1+L378)</f>
        <v>12.212200000000001</v>
      </c>
      <c r="N378" t="str">
        <v>CAMICON · Quito</v>
      </c>
      <c r="O378" t="str">
        <v>Octubre–diciembre 2025</v>
      </c>
      <c r="P378" s="97" t="str">
        <v>REFERENCIAL QUITO · utilidad 30% provisional</v>
      </c>
      <c r="Q378" t="str">
        <v>MOVIMIENTO DE TIERRAS (AGUA POTABLE Y ALCANTARILLADO)</v>
      </c>
      <c r="R378" t="str">
        <v>relleno de zanja compactado con material de sitio</v>
      </c>
    </row>
    <row r="379">
      <c r="A379" t="str">
        <v>CAM-0374</v>
      </c>
      <c r="B379" t="str">
        <v>OBRA CIVIL</v>
      </c>
      <c r="C379" t="str">
        <v>15,0113</v>
      </c>
      <c r="D379" s="97" t="str">
        <v>RELLENO DE ZANJA COMPACTADO CON MATERIAL IMPORTADO</v>
      </c>
      <c r="E379" t="str">
        <v>m³</v>
      </c>
      <c r="F379" s="95" t="n">
        <v>8.65</v>
      </c>
      <c r="G379" s="95" t="n">
        <v>4.74</v>
      </c>
      <c r="H379" s="95" t="n">
        <v>2.96</v>
      </c>
      <c r="I379" s="95" t="n">
        <v>16.35</v>
      </c>
      <c r="J379" s="96" t="n">
        <v>0.22</v>
      </c>
      <c r="K379" s="95" t="n">
        <f>I379*(1+J379)</f>
        <v>19.947000000000003</v>
      </c>
      <c r="L379" s="96" t="n">
        <v>0.3</v>
      </c>
      <c r="M379" s="95" t="n">
        <f>K379*(1+L379)</f>
        <v>25.931100000000004</v>
      </c>
      <c r="N379" t="str">
        <v>CAMICON · Quito</v>
      </c>
      <c r="O379" t="str">
        <v>Octubre–diciembre 2025</v>
      </c>
      <c r="P379" s="97" t="str">
        <v>REFERENCIAL QUITO · utilidad 30% provisional</v>
      </c>
      <c r="Q379" t="str">
        <v>MOVIMIENTO DE TIERRAS (AGUA POTABLE Y ALCANTARILLADO)</v>
      </c>
      <c r="R379" t="str">
        <v>relleno de zanja compactado con material importado</v>
      </c>
    </row>
    <row r="380">
      <c r="A380" t="str">
        <v>CAM-0375</v>
      </c>
      <c r="B380" t="str">
        <v>OBRA CIVIL</v>
      </c>
      <c r="C380" t="str">
        <v>16,0101</v>
      </c>
      <c r="D380" s="97" t="str">
        <v>DUCHA CON MEZCLADORA (INSTALACIÓN)</v>
      </c>
      <c r="E380" t="str">
        <v>u</v>
      </c>
      <c r="F380" s="95" t="n">
        <v>67.5</v>
      </c>
      <c r="G380" s="95" t="n">
        <v>13.48</v>
      </c>
      <c r="H380" s="95" t="n">
        <v>0.67</v>
      </c>
      <c r="I380" s="95" t="n">
        <v>81.65</v>
      </c>
      <c r="J380" s="96" t="n">
        <v>0.22</v>
      </c>
      <c r="K380" s="95" t="n">
        <f>I380*(1+J380)</f>
        <v>99.613</v>
      </c>
      <c r="L380" s="96" t="n">
        <v>0.3</v>
      </c>
      <c r="M380" s="95" t="n">
        <f>K380*(1+L380)</f>
        <v>129.4969</v>
      </c>
      <c r="N380" t="str">
        <v>CAMICON · Quito</v>
      </c>
      <c r="O380" t="str">
        <v>Octubre–diciembre 2025</v>
      </c>
      <c r="P380" s="97" t="str">
        <v>REFERENCIAL QUITO · utilidad 30% provisional</v>
      </c>
      <c r="Q380" t="str">
        <v>GRIFERIA Y APARATOS SANITARIOS</v>
      </c>
      <c r="R380" t="str">
        <v>ducha con mezcladora (instalacion)</v>
      </c>
    </row>
    <row r="381">
      <c r="A381" t="str">
        <v>CAM-0376</v>
      </c>
      <c r="B381" t="str">
        <v>OBRA CIVIL</v>
      </c>
      <c r="C381" t="str">
        <v>16,0102</v>
      </c>
      <c r="D381" s="97" t="str">
        <v>DUCHA PARA PERSONAS CON DISCAPACIDAD INC. BARRAS DE APOYO Y ASIENTO (INSTALACIÓN)</v>
      </c>
      <c r="E381" t="str">
        <v>u</v>
      </c>
      <c r="F381" s="95" t="n">
        <v>202.02</v>
      </c>
      <c r="G381" s="95" t="n">
        <v>26.53</v>
      </c>
      <c r="H381" s="95" t="n">
        <v>5.09</v>
      </c>
      <c r="I381" s="95" t="n">
        <v>233.64</v>
      </c>
      <c r="J381" s="96" t="n">
        <v>0.22</v>
      </c>
      <c r="K381" s="95" t="n">
        <f>I381*(1+J381)</f>
        <v>285.0408</v>
      </c>
      <c r="L381" s="96" t="n">
        <v>0.3</v>
      </c>
      <c r="M381" s="95" t="n">
        <f>K381*(1+L381)</f>
        <v>370.55304</v>
      </c>
      <c r="N381" t="str">
        <v>CAMICON · Quito</v>
      </c>
      <c r="O381" t="str">
        <v>Octubre–diciembre 2025</v>
      </c>
      <c r="P381" s="97" t="str">
        <v>REFERENCIAL QUITO · utilidad 30% provisional</v>
      </c>
      <c r="Q381" t="str">
        <v>GRIFERIA Y APARATOS SANITARIOS</v>
      </c>
      <c r="R381" t="str">
        <v>ducha para personas con discapacidad inc. barras de apoyo y asiento (instalacion)</v>
      </c>
    </row>
    <row r="382">
      <c r="A382" t="str">
        <v>CAM-0377</v>
      </c>
      <c r="B382" t="str">
        <v>OBRA CIVIL</v>
      </c>
      <c r="C382" t="str">
        <v>16,0103</v>
      </c>
      <c r="D382" s="97" t="str">
        <v>INODORO BLANCO LÍNEA ECONÓMICA (INSTALACIÓN)</v>
      </c>
      <c r="E382" t="str">
        <v>u</v>
      </c>
      <c r="F382" s="95" t="n">
        <v>77.25</v>
      </c>
      <c r="G382" s="95" t="n">
        <v>27.23</v>
      </c>
      <c r="H382" s="95" t="n">
        <v>1.36</v>
      </c>
      <c r="I382" s="95" t="n">
        <v>105.84</v>
      </c>
      <c r="J382" s="96" t="n">
        <v>0.22</v>
      </c>
      <c r="K382" s="95" t="n">
        <f>I382*(1+J382)</f>
        <v>129.1248</v>
      </c>
      <c r="L382" s="96" t="n">
        <v>0.3</v>
      </c>
      <c r="M382" s="95" t="n">
        <f>K382*(1+L382)</f>
        <v>167.86223999999999</v>
      </c>
      <c r="N382" t="str">
        <v>CAMICON · Quito</v>
      </c>
      <c r="O382" t="str">
        <v>Octubre–diciembre 2025</v>
      </c>
      <c r="P382" s="97" t="str">
        <v>REFERENCIAL QUITO · utilidad 30% provisional</v>
      </c>
      <c r="Q382" t="str">
        <v>GRIFERIA Y APARATOS SANITARIOS</v>
      </c>
      <c r="R382" t="str">
        <v>inodoro blanco linea economica (instalacion)</v>
      </c>
    </row>
    <row r="383">
      <c r="A383" t="str">
        <v>CAM-0378</v>
      </c>
      <c r="B383" t="str">
        <v>OBRA CIVIL</v>
      </c>
      <c r="C383" t="str">
        <v>16,0104</v>
      </c>
      <c r="D383" s="97" t="str">
        <v>INODORO PARA NIÑOS (INSTALACIÓN)</v>
      </c>
      <c r="E383" t="str">
        <v>u</v>
      </c>
      <c r="F383" s="95" t="n">
        <v>122.24</v>
      </c>
      <c r="G383" s="95" t="n">
        <v>25.15</v>
      </c>
      <c r="H383" s="95" t="n">
        <v>1.52</v>
      </c>
      <c r="I383" s="95" t="n">
        <v>148.91</v>
      </c>
      <c r="J383" s="96" t="n">
        <v>0.22</v>
      </c>
      <c r="K383" s="95" t="n">
        <f>I383*(1+J383)</f>
        <v>181.6702</v>
      </c>
      <c r="L383" s="96" t="n">
        <v>0.3</v>
      </c>
      <c r="M383" s="95" t="n">
        <f>K383*(1+L383)</f>
        <v>236.17126</v>
      </c>
      <c r="N383" t="str">
        <v>CAMICON · Quito</v>
      </c>
      <c r="O383" t="str">
        <v>Octubre–diciembre 2025</v>
      </c>
      <c r="P383" s="97" t="str">
        <v>REFERENCIAL QUITO · utilidad 30% provisional</v>
      </c>
      <c r="Q383" t="str">
        <v>GRIFERIA Y APARATOS SANITARIOS</v>
      </c>
      <c r="R383" t="str">
        <v>inodoro para ninos (instalacion)</v>
      </c>
    </row>
    <row r="384">
      <c r="A384" t="str">
        <v>CAM-0379</v>
      </c>
      <c r="B384" t="str">
        <v>OBRA CIVIL</v>
      </c>
      <c r="C384" t="str">
        <v>16,0105</v>
      </c>
      <c r="D384" s="97" t="str">
        <v>JUEGO ACCESORIOS DE BAÑO INTERMEDIA BLANCO (INSTALACION)</v>
      </c>
      <c r="E384" t="str">
        <v>jgo</v>
      </c>
      <c r="F384" s="95" t="n">
        <v>8.64</v>
      </c>
      <c r="G384" s="95" t="n">
        <v>7.13</v>
      </c>
      <c r="H384" s="95" t="n">
        <v>0.36</v>
      </c>
      <c r="I384" s="95" t="n">
        <v>16.13</v>
      </c>
      <c r="J384" s="96" t="n">
        <v>0.22</v>
      </c>
      <c r="K384" s="95" t="n">
        <f>I384*(1+J384)</f>
        <v>19.6786</v>
      </c>
      <c r="L384" s="96" t="n">
        <v>0.3</v>
      </c>
      <c r="M384" s="95" t="n">
        <f>K384*(1+L384)</f>
        <v>25.58218</v>
      </c>
      <c r="N384" t="str">
        <v>CAMICON · Quito</v>
      </c>
      <c r="O384" t="str">
        <v>Octubre–diciembre 2025</v>
      </c>
      <c r="P384" s="97" t="str">
        <v>REFERENCIAL QUITO · utilidad 30% provisional</v>
      </c>
      <c r="Q384" t="str">
        <v>GRIFERIA Y APARATOS SANITARIOS</v>
      </c>
      <c r="R384" t="str">
        <v>juego accesorios de bano intermedia blanco (instalacion)</v>
      </c>
    </row>
    <row r="385">
      <c r="A385" t="str">
        <v>CAM-0380</v>
      </c>
      <c r="B385" t="str">
        <v>OBRA CIVIL</v>
      </c>
      <c r="C385" t="str">
        <v>16,0106</v>
      </c>
      <c r="D385" s="97" t="str">
        <v>JUEGO DE GRIFERÍA PARA LAVAMANOS (INSTALACIÓN)</v>
      </c>
      <c r="E385" t="str">
        <v>jgo</v>
      </c>
      <c r="F385" s="95" t="n">
        <v>16.7</v>
      </c>
      <c r="G385" s="95" t="n">
        <v>13.48</v>
      </c>
      <c r="H385" s="95" t="n">
        <v>0.67</v>
      </c>
      <c r="I385" s="95" t="n">
        <v>30.85</v>
      </c>
      <c r="J385" s="96" t="n">
        <v>0.22</v>
      </c>
      <c r="K385" s="95" t="n">
        <f>I385*(1+J385)</f>
        <v>37.637</v>
      </c>
      <c r="L385" s="96" t="n">
        <v>0.3</v>
      </c>
      <c r="M385" s="95" t="n">
        <f>K385*(1+L385)</f>
        <v>48.9281</v>
      </c>
      <c r="N385" t="str">
        <v>CAMICON · Quito</v>
      </c>
      <c r="O385" t="str">
        <v>Octubre–diciembre 2025</v>
      </c>
      <c r="P385" s="97" t="str">
        <v>REFERENCIAL QUITO · utilidad 30% provisional</v>
      </c>
      <c r="Q385" t="str">
        <v>GRIFERIA Y APARATOS SANITARIOS</v>
      </c>
      <c r="R385" t="str">
        <v>juego de griferia para lavamanos (instalacion)</v>
      </c>
    </row>
    <row r="386">
      <c r="A386" t="str">
        <v>CAM-0381</v>
      </c>
      <c r="B386" t="str">
        <v>OBRA CIVIL</v>
      </c>
      <c r="C386" t="str">
        <v>16,0107</v>
      </c>
      <c r="D386" s="97" t="str">
        <v>LAVAMANOS CON PEDESTAL, NO INC. GRIFERÍA (INSTALACIÓN)</v>
      </c>
      <c r="E386" t="str">
        <v>u</v>
      </c>
      <c r="F386" s="95" t="n">
        <v>52.9</v>
      </c>
      <c r="G386" s="95" t="n">
        <v>20.94</v>
      </c>
      <c r="H386" s="95" t="n">
        <v>1.05</v>
      </c>
      <c r="I386" s="95" t="n">
        <v>74.89</v>
      </c>
      <c r="J386" s="96" t="n">
        <v>0.22</v>
      </c>
      <c r="K386" s="95" t="n">
        <f>I386*(1+J386)</f>
        <v>91.3658</v>
      </c>
      <c r="L386" s="96" t="n">
        <v>0.3</v>
      </c>
      <c r="M386" s="95" t="n">
        <f>K386*(1+L386)</f>
        <v>118.77553999999999</v>
      </c>
      <c r="N386" t="str">
        <v>CAMICON · Quito</v>
      </c>
      <c r="O386" t="str">
        <v>Octubre–diciembre 2025</v>
      </c>
      <c r="P386" s="97" t="str">
        <v>REFERENCIAL QUITO · utilidad 30% provisional</v>
      </c>
      <c r="Q386" t="str">
        <v>GRIFERIA Y APARATOS SANITARIOS</v>
      </c>
      <c r="R386" t="str">
        <v>lavamanos con pedestal, no inc. griferia (instalacion)</v>
      </c>
    </row>
    <row r="387">
      <c r="A387" t="str">
        <v>CAM-0382</v>
      </c>
      <c r="B387" t="str">
        <v>OBRA CIVIL</v>
      </c>
      <c r="C387" t="str">
        <v>16,0108</v>
      </c>
      <c r="D387" s="97" t="str">
        <v>LAVAMANOS EMPOTRADO LÍNEA ECONÓMICA, NO INC. GRIFERÍA (INSTALACIÓN)</v>
      </c>
      <c r="E387" t="str">
        <v>u</v>
      </c>
      <c r="F387" s="95" t="n">
        <v>50.53</v>
      </c>
      <c r="G387" s="95" t="n">
        <v>20.94</v>
      </c>
      <c r="H387" s="95" t="n">
        <v>1.05</v>
      </c>
      <c r="I387" s="95" t="n">
        <v>72.52</v>
      </c>
      <c r="J387" s="96" t="n">
        <v>0.22</v>
      </c>
      <c r="K387" s="95" t="n">
        <f>I387*(1+J387)</f>
        <v>88.47439999999999</v>
      </c>
      <c r="L387" s="96" t="n">
        <v>0.3</v>
      </c>
      <c r="M387" s="95" t="n">
        <f>K387*(1+L387)</f>
        <v>115.01671999999999</v>
      </c>
      <c r="N387" t="str">
        <v>CAMICON · Quito</v>
      </c>
      <c r="O387" t="str">
        <v>Octubre–diciembre 2025</v>
      </c>
      <c r="P387" s="97" t="str">
        <v>REFERENCIAL QUITO · utilidad 30% provisional</v>
      </c>
      <c r="Q387" t="str">
        <v>GRIFERIA Y APARATOS SANITARIOS</v>
      </c>
      <c r="R387" t="str">
        <v>lavamanos empotrado linea economica, no inc. griferia (instalacion)</v>
      </c>
    </row>
    <row r="388">
      <c r="A388" t="str">
        <v>CAM-0383</v>
      </c>
      <c r="B388" t="str">
        <v>OBRA CIVIL</v>
      </c>
      <c r="C388" t="str">
        <v>16,0109</v>
      </c>
      <c r="D388" s="97" t="str">
        <v>LAVAPLATOS 1 POZO GRIFERÍA TIPO CUELLO DE GANSO (INSTALACIÓN)</v>
      </c>
      <c r="E388" t="str">
        <v>u</v>
      </c>
      <c r="F388" s="95" t="n">
        <v>133.76</v>
      </c>
      <c r="G388" s="95" t="n">
        <v>21.56</v>
      </c>
      <c r="H388" s="95" t="n">
        <v>1.08</v>
      </c>
      <c r="I388" s="95" t="n">
        <v>156.4</v>
      </c>
      <c r="J388" s="96" t="n">
        <v>0.22</v>
      </c>
      <c r="K388" s="95" t="n">
        <f>I388*(1+J388)</f>
        <v>190.808</v>
      </c>
      <c r="L388" s="96" t="n">
        <v>0.3</v>
      </c>
      <c r="M388" s="95" t="n">
        <f>K388*(1+L388)</f>
        <v>248.0504</v>
      </c>
      <c r="N388" t="str">
        <v>CAMICON · Quito</v>
      </c>
      <c r="O388" t="str">
        <v>Octubre–diciembre 2025</v>
      </c>
      <c r="P388" s="97" t="str">
        <v>REFERENCIAL QUITO · utilidad 30% provisional</v>
      </c>
      <c r="Q388" t="str">
        <v>GRIFERIA Y APARATOS SANITARIOS</v>
      </c>
      <c r="R388" t="str">
        <v>lavaplatos 1 pozo griferia tipo cuello de ganso (instalacion)</v>
      </c>
    </row>
    <row r="389">
      <c r="A389" t="str">
        <v>CAM-0384</v>
      </c>
      <c r="B389" t="str">
        <v>OBRA CIVIL</v>
      </c>
      <c r="C389" t="str">
        <v>16,0110</v>
      </c>
      <c r="D389" s="97" t="str">
        <v>LAVAPLATOS 2 POZO GRIFERÍA TIPO CUELLO DE GANSO (INSTALACIÓN)</v>
      </c>
      <c r="E389" t="str">
        <v>u</v>
      </c>
      <c r="F389" s="95" t="n">
        <v>244</v>
      </c>
      <c r="G389" s="95" t="n">
        <v>27.23</v>
      </c>
      <c r="H389" s="95" t="n">
        <v>1.36</v>
      </c>
      <c r="I389" s="95" t="n">
        <v>272.59</v>
      </c>
      <c r="J389" s="96" t="n">
        <v>0.22</v>
      </c>
      <c r="K389" s="95" t="n">
        <f>I389*(1+J389)</f>
        <v>332.55979999999994</v>
      </c>
      <c r="L389" s="96" t="n">
        <v>0.3</v>
      </c>
      <c r="M389" s="95" t="n">
        <f>K389*(1+L389)</f>
        <v>432.32773999999995</v>
      </c>
      <c r="N389" t="str">
        <v>CAMICON · Quito</v>
      </c>
      <c r="O389" t="str">
        <v>Octubre–diciembre 2025</v>
      </c>
      <c r="P389" s="97" t="str">
        <v>REFERENCIAL QUITO · utilidad 30% provisional</v>
      </c>
      <c r="Q389" t="str">
        <v>GRIFERIA Y APARATOS SANITARIOS</v>
      </c>
      <c r="R389" t="str">
        <v>lavaplatos 2 pozo griferia tipo cuello de ganso (instalacion)</v>
      </c>
    </row>
    <row r="390">
      <c r="A390" t="str">
        <v>CAM-0385</v>
      </c>
      <c r="B390" t="str">
        <v>VARIOS, TRANSPORTE Y MONTAJE</v>
      </c>
      <c r="C390" t="str">
        <v>16,0111</v>
      </c>
      <c r="D390" s="97" t="str">
        <v>LLAVE TEMPORIZADA PARA URINARIO</v>
      </c>
      <c r="E390" t="str">
        <v>u</v>
      </c>
      <c r="F390" s="95" t="n">
        <v>60.73</v>
      </c>
      <c r="G390" s="95" t="n">
        <v>24.26</v>
      </c>
      <c r="H390" s="95" t="n">
        <v>1.21</v>
      </c>
      <c r="I390" s="95" t="n">
        <v>86.2</v>
      </c>
      <c r="J390" s="96" t="n">
        <v>0.22</v>
      </c>
      <c r="K390" s="95" t="n">
        <f>I390*(1+J390)</f>
        <v>105.164</v>
      </c>
      <c r="L390" s="96" t="n">
        <v>0.3</v>
      </c>
      <c r="M390" s="95" t="n">
        <f>K390*(1+L390)</f>
        <v>136.7132</v>
      </c>
      <c r="N390" t="str">
        <v>CAMICON · Quito</v>
      </c>
      <c r="O390" t="str">
        <v>Octubre–diciembre 2025</v>
      </c>
      <c r="P390" s="97" t="str">
        <v>REFERENCIAL QUITO · utilidad 30% provisional</v>
      </c>
      <c r="Q390" t="str">
        <v>GRIFERIA Y APARATOS SANITARIOS</v>
      </c>
      <c r="R390" t="str">
        <v>llave temporizada para urinario</v>
      </c>
    </row>
    <row r="391">
      <c r="A391" t="str">
        <v>CAM-0386</v>
      </c>
      <c r="B391" t="str">
        <v>VARIOS, TRANSPORTE Y MONTAJE</v>
      </c>
      <c r="C391" t="str">
        <v>16,0112</v>
      </c>
      <c r="D391" s="97" t="str">
        <v>MEZCLADORA PARA FREGADERO TIPO CUELLO DE GANZO</v>
      </c>
      <c r="E391" t="str">
        <v>u</v>
      </c>
      <c r="F391" s="95" t="n">
        <v>86.96</v>
      </c>
      <c r="G391" s="95" t="n">
        <v>24.26</v>
      </c>
      <c r="H391" s="95" t="n">
        <v>1.21</v>
      </c>
      <c r="I391" s="95" t="n">
        <v>112.43</v>
      </c>
      <c r="J391" s="96" t="n">
        <v>0.22</v>
      </c>
      <c r="K391" s="95" t="n">
        <f>I391*(1+J391)</f>
        <v>137.1646</v>
      </c>
      <c r="L391" s="96" t="n">
        <v>0.3</v>
      </c>
      <c r="M391" s="95" t="n">
        <f>K391*(1+L391)</f>
        <v>178.31398000000002</v>
      </c>
      <c r="N391" t="str">
        <v>CAMICON · Quito</v>
      </c>
      <c r="O391" t="str">
        <v>Octubre–diciembre 2025</v>
      </c>
      <c r="P391" s="97" t="str">
        <v>REFERENCIAL QUITO · utilidad 30% provisional</v>
      </c>
      <c r="Q391" t="str">
        <v>GRIFERIA Y APARATOS SANITARIOS</v>
      </c>
      <c r="R391" t="str">
        <v>mezcladora para fregadero tipo cuello de ganzo</v>
      </c>
    </row>
    <row r="392">
      <c r="A392" t="str">
        <v>CAM-0387</v>
      </c>
      <c r="B392" t="str">
        <v>OBRA CIVIL</v>
      </c>
      <c r="C392" t="str">
        <v>16,0113</v>
      </c>
      <c r="D392" s="97" t="str">
        <v>MEZCLADORA PARA LAVAMANOS (INSTALACIÓN)</v>
      </c>
      <c r="E392" t="str">
        <v>u</v>
      </c>
      <c r="F392" s="95" t="n">
        <v>40.75</v>
      </c>
      <c r="G392" s="95" t="n">
        <v>24.26</v>
      </c>
      <c r="H392" s="95" t="n">
        <v>1.21</v>
      </c>
      <c r="I392" s="95" t="n">
        <v>66.22</v>
      </c>
      <c r="J392" s="96" t="n">
        <v>0.22</v>
      </c>
      <c r="K392" s="95" t="n">
        <f>I392*(1+J392)</f>
        <v>80.7884</v>
      </c>
      <c r="L392" s="96" t="n">
        <v>0.3</v>
      </c>
      <c r="M392" s="95" t="n">
        <f>K392*(1+L392)</f>
        <v>105.02492</v>
      </c>
      <c r="N392" t="str">
        <v>CAMICON · Quito</v>
      </c>
      <c r="O392" t="str">
        <v>Octubre–diciembre 2025</v>
      </c>
      <c r="P392" s="97" t="str">
        <v>REFERENCIAL QUITO · utilidad 30% provisional</v>
      </c>
      <c r="Q392" t="str">
        <v>GRIFERIA Y APARATOS SANITARIOS</v>
      </c>
      <c r="R392" t="str">
        <v>mezcladora para lavamanos (instalacion)</v>
      </c>
    </row>
    <row r="393">
      <c r="A393" t="str">
        <v>CAM-0388</v>
      </c>
      <c r="B393" t="str">
        <v>OBRA CIVIL</v>
      </c>
      <c r="C393" t="str">
        <v>16,0114</v>
      </c>
      <c r="D393" s="97" t="str">
        <v>URINARIO TIPO LÍNEA ECONÓMICA, NO INC. GRIFERÍA (INSTALACIÓN)</v>
      </c>
      <c r="E393" t="str">
        <v>u</v>
      </c>
      <c r="F393" s="95" t="n">
        <v>76.94</v>
      </c>
      <c r="G393" s="95" t="n">
        <v>27.23</v>
      </c>
      <c r="H393" s="95" t="n">
        <v>1.36</v>
      </c>
      <c r="I393" s="95" t="n">
        <v>105.53</v>
      </c>
      <c r="J393" s="96" t="n">
        <v>0.22</v>
      </c>
      <c r="K393" s="95" t="n">
        <f>I393*(1+J393)</f>
        <v>128.7466</v>
      </c>
      <c r="L393" s="96" t="n">
        <v>0.3</v>
      </c>
      <c r="M393" s="95" t="n">
        <f>K393*(1+L393)</f>
        <v>167.37058000000002</v>
      </c>
      <c r="N393" t="str">
        <v>CAMICON · Quito</v>
      </c>
      <c r="O393" t="str">
        <v>Octubre–diciembre 2025</v>
      </c>
      <c r="P393" s="97" t="str">
        <v>REFERENCIAL QUITO · utilidad 30% provisional</v>
      </c>
      <c r="Q393" t="str">
        <v>GRIFERIA Y APARATOS SANITARIOS</v>
      </c>
      <c r="R393" t="str">
        <v>urinario tipo linea economica, no inc. griferia (instalacion)</v>
      </c>
    </row>
    <row r="394">
      <c r="A394" t="str">
        <v>CAM-0389</v>
      </c>
      <c r="B394" t="str">
        <v>VARIOS, TRANSPORTE Y MONTAJE</v>
      </c>
      <c r="C394" t="str">
        <v>16,0101</v>
      </c>
      <c r="D394" s="97" t="str">
        <v>PUNTO DE AGUA FRÍA HG.1/2"</v>
      </c>
      <c r="E394" t="str">
        <v>pto</v>
      </c>
      <c r="F394" s="95" t="n">
        <v>7.13</v>
      </c>
      <c r="G394" s="95" t="n">
        <v>17.97</v>
      </c>
      <c r="H394" s="95" t="n">
        <v>0.9</v>
      </c>
      <c r="I394" s="95" t="n">
        <v>26</v>
      </c>
      <c r="J394" s="96" t="n">
        <v>0.22</v>
      </c>
      <c r="K394" s="95" t="n">
        <f>I394*(1+J394)</f>
        <v>31.72</v>
      </c>
      <c r="L394" s="96" t="n">
        <v>0.3</v>
      </c>
      <c r="M394" s="95" t="n">
        <f>K394*(1+L394)</f>
        <v>41.236</v>
      </c>
      <c r="N394" t="str">
        <v>CAMICON · Quito</v>
      </c>
      <c r="O394" t="str">
        <v>Octubre–diciembre 2025</v>
      </c>
      <c r="P394" s="97" t="str">
        <v>REFERENCIAL QUITO · utilidad 30% provisional</v>
      </c>
      <c r="Q394" t="str">
        <v>GRIFERIA Y APARATOS SANITARIOS</v>
      </c>
      <c r="R394" t="str">
        <v>punto de agua fria hg.1/2"</v>
      </c>
    </row>
    <row r="395">
      <c r="A395" t="str">
        <v>CAM-0390</v>
      </c>
      <c r="B395" t="str">
        <v>VARIOS, TRANSPORTE Y MONTAJE</v>
      </c>
      <c r="C395" t="str">
        <v>16,0102</v>
      </c>
      <c r="D395" s="97" t="str">
        <v>TUBERÍA HG 1/2" INC. ACCESORIOS</v>
      </c>
      <c r="E395" t="str">
        <v>mtl</v>
      </c>
      <c r="F395" s="95" t="n">
        <v>1.91</v>
      </c>
      <c r="G395" s="95" t="n">
        <v>2.25</v>
      </c>
      <c r="H395" s="95" t="n">
        <v>0.11</v>
      </c>
      <c r="I395" s="95" t="n">
        <v>4.27</v>
      </c>
      <c r="J395" s="96" t="n">
        <v>0.22</v>
      </c>
      <c r="K395" s="95" t="n">
        <f>I395*(1+J395)</f>
        <v>5.2094</v>
      </c>
      <c r="L395" s="96" t="n">
        <v>0.3</v>
      </c>
      <c r="M395" s="95" t="n">
        <f>K395*(1+L395)</f>
        <v>6.77222</v>
      </c>
      <c r="N395" t="str">
        <v>CAMICON · Quito</v>
      </c>
      <c r="O395" t="str">
        <v>Octubre–diciembre 2025</v>
      </c>
      <c r="P395" s="97" t="str">
        <v>REFERENCIAL QUITO · utilidad 30% provisional</v>
      </c>
      <c r="Q395" t="str">
        <v>GRIFERIA Y APARATOS SANITARIOS</v>
      </c>
      <c r="R395" t="str">
        <v>tuberia hg 1/2" inc. accesorios</v>
      </c>
    </row>
    <row r="396">
      <c r="A396" t="str">
        <v>CAM-0391</v>
      </c>
      <c r="B396" t="str">
        <v>VARIOS, TRANSPORTE Y MONTAJE</v>
      </c>
      <c r="C396" t="str">
        <v>16,0103</v>
      </c>
      <c r="D396" s="97" t="str">
        <v>TUBERÍA HG 3/4" INC. ACCESORIOS</v>
      </c>
      <c r="E396" t="str">
        <v>mtl</v>
      </c>
      <c r="F396" s="95" t="n">
        <v>3.51</v>
      </c>
      <c r="G396" s="95" t="n">
        <v>2.27</v>
      </c>
      <c r="H396" s="95" t="n">
        <v>0.11</v>
      </c>
      <c r="I396" s="95" t="n">
        <v>5.89</v>
      </c>
      <c r="J396" s="96" t="n">
        <v>0.22</v>
      </c>
      <c r="K396" s="95" t="n">
        <f>I396*(1+J396)</f>
        <v>7.1857999999999995</v>
      </c>
      <c r="L396" s="96" t="n">
        <v>0.3</v>
      </c>
      <c r="M396" s="95" t="n">
        <f>K396*(1+L396)</f>
        <v>9.34154</v>
      </c>
      <c r="N396" t="str">
        <v>CAMICON · Quito</v>
      </c>
      <c r="O396" t="str">
        <v>Octubre–diciembre 2025</v>
      </c>
      <c r="P396" s="97" t="str">
        <v>REFERENCIAL QUITO · utilidad 30% provisional</v>
      </c>
      <c r="Q396" t="str">
        <v>GRIFERIA Y APARATOS SANITARIOS</v>
      </c>
      <c r="R396" t="str">
        <v>tuberia hg 3/4" inc. accesorios</v>
      </c>
    </row>
    <row r="397">
      <c r="A397" t="str">
        <v>CAM-0392</v>
      </c>
      <c r="B397" t="str">
        <v>VARIOS, TRANSPORTE Y MONTAJE</v>
      </c>
      <c r="C397" t="str">
        <v>16,0104</v>
      </c>
      <c r="D397" s="97" t="str">
        <v>TUBERÍA HG 1" INC. ACCESORIOS</v>
      </c>
      <c r="E397" t="str">
        <v>mtl</v>
      </c>
      <c r="F397" s="95" t="n">
        <v>1.97</v>
      </c>
      <c r="G397" s="95" t="n">
        <v>2.28</v>
      </c>
      <c r="H397" s="95" t="n">
        <v>0.11</v>
      </c>
      <c r="I397" s="95" t="n">
        <v>4.36</v>
      </c>
      <c r="J397" s="96" t="n">
        <v>0.22</v>
      </c>
      <c r="K397" s="95" t="n">
        <f>I397*(1+J397)</f>
        <v>5.3192</v>
      </c>
      <c r="L397" s="96" t="n">
        <v>0.3</v>
      </c>
      <c r="M397" s="95" t="n">
        <f>K397*(1+L397)</f>
        <v>6.914960000000001</v>
      </c>
      <c r="N397" t="str">
        <v>CAMICON · Quito</v>
      </c>
      <c r="O397" t="str">
        <v>Octubre–diciembre 2025</v>
      </c>
      <c r="P397" s="97" t="str">
        <v>REFERENCIAL QUITO · utilidad 30% provisional</v>
      </c>
      <c r="Q397" t="str">
        <v>GRIFERIA Y APARATOS SANITARIOS</v>
      </c>
      <c r="R397" t="str">
        <v>tuberia hg 1" inc. accesorios</v>
      </c>
    </row>
    <row r="398">
      <c r="A398" t="str">
        <v>CAM-0393</v>
      </c>
      <c r="B398" t="str">
        <v>VARIOS, TRANSPORTE Y MONTAJE</v>
      </c>
      <c r="C398" t="str">
        <v>16,0105</v>
      </c>
      <c r="D398" s="97" t="str">
        <v>TUBERÍA HG 1-1/2" INC. ACCESORIOS</v>
      </c>
      <c r="E398" t="str">
        <v>mtl</v>
      </c>
      <c r="F398" s="95" t="n">
        <v>3.1</v>
      </c>
      <c r="G398" s="95" t="n">
        <v>2.3</v>
      </c>
      <c r="H398" s="95" t="n">
        <v>0.12</v>
      </c>
      <c r="I398" s="95" t="n">
        <v>5.52</v>
      </c>
      <c r="J398" s="96" t="n">
        <v>0.22</v>
      </c>
      <c r="K398" s="95" t="n">
        <f>I398*(1+J398)</f>
        <v>6.734399999999999</v>
      </c>
      <c r="L398" s="96" t="n">
        <v>0.3</v>
      </c>
      <c r="M398" s="95" t="n">
        <f>K398*(1+L398)</f>
        <v>8.754719999999999</v>
      </c>
      <c r="N398" t="str">
        <v>CAMICON · Quito</v>
      </c>
      <c r="O398" t="str">
        <v>Octubre–diciembre 2025</v>
      </c>
      <c r="P398" s="97" t="str">
        <v>REFERENCIAL QUITO · utilidad 30% provisional</v>
      </c>
      <c r="Q398" t="str">
        <v>GRIFERIA Y APARATOS SANITARIOS</v>
      </c>
      <c r="R398" t="str">
        <v>tuberia hg 1-1/2" inc. accesorios</v>
      </c>
    </row>
    <row r="399">
      <c r="A399" t="str">
        <v>CAM-0394</v>
      </c>
      <c r="B399" t="str">
        <v>VARIOS, TRANSPORTE Y MONTAJE</v>
      </c>
      <c r="C399" t="str">
        <v>16,0106</v>
      </c>
      <c r="D399" s="97" t="str">
        <v>TUBERÍA HG 2" INC. ACCESORIOS</v>
      </c>
      <c r="E399" t="str">
        <v>mtl</v>
      </c>
      <c r="F399" s="95" t="n">
        <v>5.19</v>
      </c>
      <c r="G399" s="95" t="n">
        <v>2.33</v>
      </c>
      <c r="H399" s="95" t="n">
        <v>0.12</v>
      </c>
      <c r="I399" s="95" t="n">
        <v>7.64</v>
      </c>
      <c r="J399" s="96" t="n">
        <v>0.22</v>
      </c>
      <c r="K399" s="95" t="n">
        <f>I399*(1+J399)</f>
        <v>9.3208</v>
      </c>
      <c r="L399" s="96" t="n">
        <v>0.3</v>
      </c>
      <c r="M399" s="95" t="n">
        <f>K399*(1+L399)</f>
        <v>12.117040000000001</v>
      </c>
      <c r="N399" t="str">
        <v>CAMICON · Quito</v>
      </c>
      <c r="O399" t="str">
        <v>Octubre–diciembre 2025</v>
      </c>
      <c r="P399" s="97" t="str">
        <v>REFERENCIAL QUITO · utilidad 30% provisional</v>
      </c>
      <c r="Q399" t="str">
        <v>GRIFERIA Y APARATOS SANITARIOS</v>
      </c>
      <c r="R399" t="str">
        <v>tuberia hg 2" inc. accesorios</v>
      </c>
    </row>
    <row r="400">
      <c r="A400" t="str">
        <v>CAM-0395</v>
      </c>
      <c r="B400" t="str">
        <v>VARIOS, TRANSPORTE Y MONTAJE</v>
      </c>
      <c r="C400" t="str">
        <v>16,0107</v>
      </c>
      <c r="D400" s="97" t="str">
        <v>TUBERÍA HG 2-1/2" INC. ACCESORIOS</v>
      </c>
      <c r="E400" t="str">
        <v>mtl</v>
      </c>
      <c r="F400" s="95" t="n">
        <v>5.61</v>
      </c>
      <c r="G400" s="95" t="n">
        <v>4.5</v>
      </c>
      <c r="H400" s="95" t="n">
        <v>0.23</v>
      </c>
      <c r="I400" s="95" t="n">
        <v>10.34</v>
      </c>
      <c r="J400" s="96" t="n">
        <v>0.22</v>
      </c>
      <c r="K400" s="95" t="n">
        <f>I400*(1+J400)</f>
        <v>12.614799999999999</v>
      </c>
      <c r="L400" s="96" t="n">
        <v>0.3</v>
      </c>
      <c r="M400" s="95" t="n">
        <f>K400*(1+L400)</f>
        <v>16.39924</v>
      </c>
      <c r="N400" t="str">
        <v>CAMICON · Quito</v>
      </c>
      <c r="O400" t="str">
        <v>Octubre–diciembre 2025</v>
      </c>
      <c r="P400" s="97" t="str">
        <v>REFERENCIAL QUITO · utilidad 30% provisional</v>
      </c>
      <c r="Q400" t="str">
        <v>GRIFERIA Y APARATOS SANITARIOS</v>
      </c>
      <c r="R400" t="str">
        <v>tuberia hg 2-1/2" inc. accesorios</v>
      </c>
    </row>
    <row r="401">
      <c r="A401" t="str">
        <v>CAM-0396</v>
      </c>
      <c r="B401" t="str">
        <v>VARIOS, TRANSPORTE Y MONTAJE</v>
      </c>
      <c r="C401" t="str">
        <v>16,0108</v>
      </c>
      <c r="D401" s="97" t="str">
        <v>TUBERÍA HG 3" INC. ACCESORIOS</v>
      </c>
      <c r="E401" t="str">
        <v>mtl</v>
      </c>
      <c r="F401" s="95" t="n">
        <v>8.29</v>
      </c>
      <c r="G401" s="95" t="n">
        <v>4.54</v>
      </c>
      <c r="H401" s="95" t="n">
        <v>0.23</v>
      </c>
      <c r="I401" s="95" t="n">
        <v>13.06</v>
      </c>
      <c r="J401" s="96" t="n">
        <v>0.22</v>
      </c>
      <c r="K401" s="95" t="n">
        <f>I401*(1+J401)</f>
        <v>15.933200000000001</v>
      </c>
      <c r="L401" s="96" t="n">
        <v>0.3</v>
      </c>
      <c r="M401" s="95" t="n">
        <f>K401*(1+L401)</f>
        <v>20.713160000000002</v>
      </c>
      <c r="N401" t="str">
        <v>CAMICON · Quito</v>
      </c>
      <c r="O401" t="str">
        <v>Octubre–diciembre 2025</v>
      </c>
      <c r="P401" s="97" t="str">
        <v>REFERENCIAL QUITO · utilidad 30% provisional</v>
      </c>
      <c r="Q401" t="str">
        <v>GRIFERIA Y APARATOS SANITARIOS</v>
      </c>
      <c r="R401" t="str">
        <v>tuberia hg 3" inc. accesorios</v>
      </c>
    </row>
    <row r="402">
      <c r="A402" t="str">
        <v>CAM-0397</v>
      </c>
      <c r="B402" t="str">
        <v>VARIOS, TRANSPORTE Y MONTAJE</v>
      </c>
      <c r="C402" t="str">
        <v>16,0109</v>
      </c>
      <c r="D402" s="97" t="str">
        <v>TUBERÍA HG 4" INC. ACCESORIOS</v>
      </c>
      <c r="E402" t="str">
        <v>mtl</v>
      </c>
      <c r="F402" s="95" t="n">
        <v>12.68</v>
      </c>
      <c r="G402" s="95" t="n">
        <v>4.58</v>
      </c>
      <c r="H402" s="95" t="n">
        <v>0.23</v>
      </c>
      <c r="I402" s="95" t="n">
        <v>17.49</v>
      </c>
      <c r="J402" s="96" t="n">
        <v>0.22</v>
      </c>
      <c r="K402" s="95" t="n">
        <f>I402*(1+J402)</f>
        <v>21.337799999999998</v>
      </c>
      <c r="L402" s="96" t="n">
        <v>0.3</v>
      </c>
      <c r="M402" s="95" t="n">
        <f>K402*(1+L402)</f>
        <v>27.73914</v>
      </c>
      <c r="N402" t="str">
        <v>CAMICON · Quito</v>
      </c>
      <c r="O402" t="str">
        <v>Octubre–diciembre 2025</v>
      </c>
      <c r="P402" s="97" t="str">
        <v>REFERENCIAL QUITO · utilidad 30% provisional</v>
      </c>
      <c r="Q402" t="str">
        <v>GRIFERIA Y APARATOS SANITARIOS</v>
      </c>
      <c r="R402" t="str">
        <v>tuberia hg 4" inc. accesorios</v>
      </c>
    </row>
    <row r="403">
      <c r="A403" t="str">
        <v>CAM-0398</v>
      </c>
      <c r="B403" t="str">
        <v>VARIOS, TRANSPORTE Y MONTAJE</v>
      </c>
      <c r="C403" t="str">
        <v>17,0101</v>
      </c>
      <c r="D403" s="97" t="str">
        <v>ESTACIÓN MANUAL DOBLE ACCIÓN</v>
      </c>
      <c r="E403" t="str">
        <v>u</v>
      </c>
      <c r="F403" s="95" t="n">
        <v>29.89</v>
      </c>
      <c r="G403" s="95" t="n">
        <v>4.76</v>
      </c>
      <c r="H403" s="95" t="n">
        <v>0.24</v>
      </c>
      <c r="I403" s="95" t="n">
        <v>34.89</v>
      </c>
      <c r="J403" s="96" t="n">
        <v>0.22</v>
      </c>
      <c r="K403" s="95" t="n">
        <f>I403*(1+J403)</f>
        <v>42.5658</v>
      </c>
      <c r="L403" s="96" t="n">
        <v>0.3</v>
      </c>
      <c r="M403" s="95" t="n">
        <f>K403*(1+L403)</f>
        <v>55.33554000000001</v>
      </c>
      <c r="N403" t="str">
        <v>CAMICON · Quito</v>
      </c>
      <c r="O403" t="str">
        <v>Octubre–diciembre 2025</v>
      </c>
      <c r="P403" s="97" t="str">
        <v>REFERENCIAL QUITO · utilidad 30% provisional</v>
      </c>
      <c r="Q403" t="str">
        <v>SISTEMA CONTRA INCENDIOS: EQUIPOS</v>
      </c>
      <c r="R403" t="str">
        <v>estacion manual doble accion</v>
      </c>
    </row>
    <row r="404">
      <c r="A404" t="str">
        <v>CAM-0399</v>
      </c>
      <c r="B404" t="str">
        <v>VARIOS, TRANSPORTE Y MONTAJE</v>
      </c>
      <c r="C404" t="str">
        <v>17,0102</v>
      </c>
      <c r="D404" s="97" t="str">
        <v>GABINETE CONTRA INCENDIOS</v>
      </c>
      <c r="E404" t="str">
        <v>u</v>
      </c>
      <c r="F404" s="95" t="n">
        <v>315</v>
      </c>
      <c r="G404" s="95" t="n">
        <v>18.83</v>
      </c>
      <c r="H404" s="95" t="n">
        <v>0.94</v>
      </c>
      <c r="I404" s="95" t="n">
        <v>334.77</v>
      </c>
      <c r="J404" s="96" t="n">
        <v>0.22</v>
      </c>
      <c r="K404" s="95" t="n">
        <f>I404*(1+J404)</f>
        <v>408.4194</v>
      </c>
      <c r="L404" s="96" t="n">
        <v>0.3</v>
      </c>
      <c r="M404" s="95" t="n">
        <f>K404*(1+L404)</f>
        <v>530.9452200000001</v>
      </c>
      <c r="N404" t="str">
        <v>CAMICON · Quito</v>
      </c>
      <c r="O404" t="str">
        <v>Octubre–diciembre 2025</v>
      </c>
      <c r="P404" s="97" t="str">
        <v>REFERENCIAL QUITO · utilidad 30% provisional</v>
      </c>
      <c r="Q404" t="str">
        <v>SISTEMA CONTRA INCENDIOS: EQUIPOS</v>
      </c>
      <c r="R404" t="str">
        <v>gabinete contra incendios</v>
      </c>
    </row>
    <row r="405">
      <c r="A405" t="str">
        <v>CAM-0400</v>
      </c>
      <c r="B405" t="str">
        <v>VARIOS, TRANSPORTE Y MONTAJE</v>
      </c>
      <c r="C405" t="str">
        <v>17,0103</v>
      </c>
      <c r="D405" s="97" t="str">
        <v>PANEL DE ALARMA EXPANDIBLE DE 8 A 32 ZONAS</v>
      </c>
      <c r="E405" t="str">
        <v>u</v>
      </c>
      <c r="F405" s="95" t="n">
        <v>527.63</v>
      </c>
      <c r="G405" s="95" t="n">
        <v>76.08</v>
      </c>
      <c r="H405" s="95" t="n">
        <v>3.8</v>
      </c>
      <c r="I405" s="95" t="n">
        <v>607.51</v>
      </c>
      <c r="J405" s="96" t="n">
        <v>0.22</v>
      </c>
      <c r="K405" s="95" t="n">
        <f>I405*(1+J405)</f>
        <v>741.1622</v>
      </c>
      <c r="L405" s="96" t="n">
        <v>0.3</v>
      </c>
      <c r="M405" s="95" t="n">
        <f>K405*(1+L405)</f>
        <v>963.51086</v>
      </c>
      <c r="N405" t="str">
        <v>CAMICON · Quito</v>
      </c>
      <c r="O405" t="str">
        <v>Octubre–diciembre 2025</v>
      </c>
      <c r="P405" s="97" t="str">
        <v>REFERENCIAL QUITO · utilidad 30% provisional</v>
      </c>
      <c r="Q405" t="str">
        <v>SISTEMA CONTRA INCENDIOS: EQUIPOS</v>
      </c>
      <c r="R405" t="str">
        <v>panel de alarma expandible de 8 a 32 zonas</v>
      </c>
    </row>
    <row r="406">
      <c r="A406" t="str">
        <v>CAM-0401</v>
      </c>
      <c r="B406" t="str">
        <v>VARIOS, TRANSPORTE Y MONTAJE</v>
      </c>
      <c r="C406" t="str">
        <v>17,0104</v>
      </c>
      <c r="D406" s="97" t="str">
        <v>ROCIADORES (SPLINKERS)</v>
      </c>
      <c r="E406" t="str">
        <v>u</v>
      </c>
      <c r="F406" s="95" t="n">
        <v>12.68</v>
      </c>
      <c r="G406" s="95" t="n">
        <v>10.57</v>
      </c>
      <c r="H406" s="95" t="n">
        <v>0.53</v>
      </c>
      <c r="I406" s="95" t="n">
        <v>23.78</v>
      </c>
      <c r="J406" s="96" t="n">
        <v>0.22</v>
      </c>
      <c r="K406" s="95" t="n">
        <f>I406*(1+J406)</f>
        <v>29.0116</v>
      </c>
      <c r="L406" s="96" t="n">
        <v>0.3</v>
      </c>
      <c r="M406" s="95" t="n">
        <f>K406*(1+L406)</f>
        <v>37.71508</v>
      </c>
      <c r="N406" t="str">
        <v>CAMICON · Quito</v>
      </c>
      <c r="O406" t="str">
        <v>Octubre–diciembre 2025</v>
      </c>
      <c r="P406" s="97" t="str">
        <v>REFERENCIAL QUITO · utilidad 30% provisional</v>
      </c>
      <c r="Q406" t="str">
        <v>SISTEMA CONTRA INCENDIOS: EQUIPOS</v>
      </c>
      <c r="R406" t="str">
        <v>rociadores (splinkers)</v>
      </c>
    </row>
    <row r="407">
      <c r="A407" t="str">
        <v>CAM-0402</v>
      </c>
      <c r="B407" t="str">
        <v>VARIOS, TRANSPORTE Y MONTAJE</v>
      </c>
      <c r="C407" t="str">
        <v>17,0105</v>
      </c>
      <c r="D407" s="97" t="str">
        <v>SENSOR DE HUMO FOTO ELÉCTRICO</v>
      </c>
      <c r="E407" t="str">
        <v>u</v>
      </c>
      <c r="F407" s="95" t="n">
        <v>34.29</v>
      </c>
      <c r="G407" s="95" t="n">
        <v>4.76</v>
      </c>
      <c r="H407" s="95" t="n">
        <v>0.24</v>
      </c>
      <c r="I407" s="95" t="n">
        <v>39.29</v>
      </c>
      <c r="J407" s="96" t="n">
        <v>0.22</v>
      </c>
      <c r="K407" s="95" t="n">
        <f>I407*(1+J407)</f>
        <v>47.9338</v>
      </c>
      <c r="L407" s="96" t="n">
        <v>0.3</v>
      </c>
      <c r="M407" s="95" t="n">
        <f>K407*(1+L407)</f>
        <v>62.31394</v>
      </c>
      <c r="N407" t="str">
        <v>CAMICON · Quito</v>
      </c>
      <c r="O407" t="str">
        <v>Octubre–diciembre 2025</v>
      </c>
      <c r="P407" s="97" t="str">
        <v>REFERENCIAL QUITO · utilidad 30% provisional</v>
      </c>
      <c r="Q407" t="str">
        <v>SISTEMA CONTRA INCENDIOS: EQUIPOS</v>
      </c>
      <c r="R407" t="str">
        <v>sensor de humo foto electrico</v>
      </c>
    </row>
    <row r="408">
      <c r="A408" t="str">
        <v>CAM-0403</v>
      </c>
      <c r="B408" t="str">
        <v>VARIOS, TRANSPORTE Y MONTAJE</v>
      </c>
      <c r="C408" t="str">
        <v>17,0106</v>
      </c>
      <c r="D408" s="97" t="str">
        <v>SIRENA CON LUZ ESTROBOSCÓPICA</v>
      </c>
      <c r="E408" t="str">
        <v>u</v>
      </c>
      <c r="F408" s="95" t="n">
        <v>59.04</v>
      </c>
      <c r="G408" s="95" t="n">
        <v>8.09</v>
      </c>
      <c r="H408" s="95" t="n">
        <v>0.4</v>
      </c>
      <c r="I408" s="95" t="n">
        <v>67.53</v>
      </c>
      <c r="J408" s="96" t="n">
        <v>0.22</v>
      </c>
      <c r="K408" s="95" t="n">
        <f>I408*(1+J408)</f>
        <v>82.3866</v>
      </c>
      <c r="L408" s="96" t="n">
        <v>0.3</v>
      </c>
      <c r="M408" s="95" t="n">
        <f>K408*(1+L408)</f>
        <v>107.10258</v>
      </c>
      <c r="N408" t="str">
        <v>CAMICON · Quito</v>
      </c>
      <c r="O408" t="str">
        <v>Octubre–diciembre 2025</v>
      </c>
      <c r="P408" s="97" t="str">
        <v>REFERENCIAL QUITO · utilidad 30% provisional</v>
      </c>
      <c r="Q408" t="str">
        <v>SISTEMA CONTRA INCENDIOS: EQUIPOS</v>
      </c>
      <c r="R408" t="str">
        <v>sirena con luz estroboscopica</v>
      </c>
    </row>
    <row r="409">
      <c r="A409" t="str">
        <v>CAM-0404</v>
      </c>
      <c r="B409" t="str">
        <v>MOBILIARIO Y MÓDULOS</v>
      </c>
      <c r="C409" t="str">
        <v>17,0107</v>
      </c>
      <c r="D409" s="97" t="str">
        <v>VÁLVULA SIAMESA (2 DE ENTRADA 2 1/2" Y 1 SALIDA 4")</v>
      </c>
      <c r="E409" t="str">
        <v>u</v>
      </c>
      <c r="F409" s="95" t="n">
        <v>2.15</v>
      </c>
      <c r="G409" s="95" t="n">
        <v>33.16</v>
      </c>
      <c r="H409" s="95" t="n">
        <v>1.66</v>
      </c>
      <c r="I409" s="95" t="n">
        <v>36.97</v>
      </c>
      <c r="J409" s="96" t="n">
        <v>0.22</v>
      </c>
      <c r="K409" s="95" t="n">
        <f>I409*(1+J409)</f>
        <v>45.1034</v>
      </c>
      <c r="L409" s="96" t="n">
        <v>0.3</v>
      </c>
      <c r="M409" s="95" t="n">
        <f>K409*(1+L409)</f>
        <v>58.634420000000006</v>
      </c>
      <c r="N409" t="str">
        <v>CAMICON · Quito</v>
      </c>
      <c r="O409" t="str">
        <v>Octubre–diciembre 2025</v>
      </c>
      <c r="P409" s="97" t="str">
        <v>REFERENCIAL QUITO · utilidad 30% provisional</v>
      </c>
      <c r="Q409" t="str">
        <v>SISTEMA CONTRA INCENDIOS: EQUIPOS</v>
      </c>
      <c r="R409" t="str">
        <v>valvula siamesa (2 de entrada 2 1/2" y 1 salida 4")</v>
      </c>
    </row>
    <row r="410">
      <c r="A410" t="str">
        <v>CAM-0405</v>
      </c>
      <c r="B410" t="str">
        <v>OBRA CIVIL</v>
      </c>
      <c r="C410" t="str">
        <v>18.0101</v>
      </c>
      <c r="D410" s="97" t="str">
        <v>ACOMETIDA ELECTRICA PRINCIPAL</v>
      </c>
      <c r="E410" t="str">
        <v>mtl</v>
      </c>
      <c r="F410" s="95" t="n">
        <v>6.28</v>
      </c>
      <c r="G410" s="95" t="n">
        <v>3.51</v>
      </c>
      <c r="H410" s="95" t="n">
        <v>0.18</v>
      </c>
      <c r="I410" s="95" t="n">
        <v>9.97</v>
      </c>
      <c r="J410" s="96" t="n">
        <v>0.22</v>
      </c>
      <c r="K410" s="95" t="n">
        <f>I410*(1+J410)</f>
        <v>12.163400000000001</v>
      </c>
      <c r="L410" s="96" t="n">
        <v>0.3</v>
      </c>
      <c r="M410" s="95" t="n">
        <f>K410*(1+L410)</f>
        <v>15.812420000000001</v>
      </c>
      <c r="N410" t="str">
        <v>CAMICON · Quito</v>
      </c>
      <c r="O410" t="str">
        <v>Octubre–diciembre 2025</v>
      </c>
      <c r="P410" s="97" t="str">
        <v>REFERENCIAL QUITO · utilidad 30% provisional</v>
      </c>
      <c r="Q410" t="str">
        <v>INSTALACIONES ELÉCTRICAS</v>
      </c>
      <c r="R410" t="str">
        <v>acometida electrica principal</v>
      </c>
    </row>
    <row r="411">
      <c r="A411" t="str">
        <v>CAM-0406</v>
      </c>
      <c r="B411" t="str">
        <v>ILUMINACIÓN</v>
      </c>
      <c r="C411" t="str">
        <v>18.0201</v>
      </c>
      <c r="D411" s="97" t="str">
        <v>PUNTO DE ILUMINACIÓN THHN 2X12 AWG MANGUERA DE POLIETILENO 1/2"</v>
      </c>
      <c r="E411" t="str">
        <v>pto</v>
      </c>
      <c r="F411" s="95" t="n">
        <v>4.5</v>
      </c>
      <c r="G411" s="95" t="n">
        <v>10.56</v>
      </c>
      <c r="H411" s="95" t="n">
        <v>0.53</v>
      </c>
      <c r="I411" s="95" t="n">
        <v>15.59</v>
      </c>
      <c r="J411" s="96" t="n">
        <v>0.22</v>
      </c>
      <c r="K411" s="95" t="n">
        <f>I411*(1+J411)</f>
        <v>19.0198</v>
      </c>
      <c r="L411" s="96" t="n">
        <v>0.3</v>
      </c>
      <c r="M411" s="95" t="n">
        <f>K411*(1+L411)</f>
        <v>24.725740000000002</v>
      </c>
      <c r="N411" t="str">
        <v>CAMICON · Quito</v>
      </c>
      <c r="O411" t="str">
        <v>Octubre–diciembre 2025</v>
      </c>
      <c r="P411" s="97" t="str">
        <v>REFERENCIAL QUITO · utilidad 30% provisional</v>
      </c>
      <c r="Q411" t="str">
        <v>INSTALACIONES ELÉCTRICAS</v>
      </c>
      <c r="R411" t="str">
        <v>punto de iluminacion thhn 2x12 awg manguera de polietileno 1/2"</v>
      </c>
    </row>
    <row r="412">
      <c r="A412" t="str">
        <v>CAM-0407</v>
      </c>
      <c r="B412" t="str">
        <v>ILUMINACIÓN</v>
      </c>
      <c r="C412" t="str">
        <v>18.0202</v>
      </c>
      <c r="D412" s="97" t="str">
        <v>PUNTO DE ILUMINACIÓN THHN 2X12 + 1X14 AWG MANGUERA DE POLIETILENO 1/2"</v>
      </c>
      <c r="E412" t="str">
        <v>pto</v>
      </c>
      <c r="F412" s="95" t="n">
        <v>5.7</v>
      </c>
      <c r="G412" s="95" t="n">
        <v>11</v>
      </c>
      <c r="H412" s="95" t="n">
        <v>0.55</v>
      </c>
      <c r="I412" s="95" t="n">
        <v>17.25</v>
      </c>
      <c r="J412" s="96" t="n">
        <v>0.22</v>
      </c>
      <c r="K412" s="95" t="n">
        <f>I412*(1+J412)</f>
        <v>21.044999999999998</v>
      </c>
      <c r="L412" s="96" t="n">
        <v>0.3</v>
      </c>
      <c r="M412" s="95" t="n">
        <f>K412*(1+L412)</f>
        <v>27.3585</v>
      </c>
      <c r="N412" t="str">
        <v>CAMICON · Quito</v>
      </c>
      <c r="O412" t="str">
        <v>Octubre–diciembre 2025</v>
      </c>
      <c r="P412" s="97" t="str">
        <v>REFERENCIAL QUITO · utilidad 30% provisional</v>
      </c>
      <c r="Q412" t="str">
        <v>INSTALACIONES ELÉCTRICAS</v>
      </c>
      <c r="R412" t="str">
        <v>punto de iluminacion thhn 2x12 + 1x14 awg manguera de polietileno 1/2"</v>
      </c>
    </row>
    <row r="413">
      <c r="A413" t="str">
        <v>CAM-0408</v>
      </c>
      <c r="B413" t="str">
        <v>ILUMINACIÓN</v>
      </c>
      <c r="C413" t="str">
        <v>18.0203</v>
      </c>
      <c r="D413" s="97" t="str">
        <v>PUNTO DE ILUMINACIÓN THHN 2X12 AWG CONDUIT EMT GALVANIZADO 1/2"</v>
      </c>
      <c r="E413" t="str">
        <v>pto</v>
      </c>
      <c r="F413" s="95" t="n">
        <v>7.58</v>
      </c>
      <c r="G413" s="95" t="n">
        <v>11.68</v>
      </c>
      <c r="H413" s="95" t="n">
        <v>0.58</v>
      </c>
      <c r="I413" s="95" t="n">
        <v>19.84</v>
      </c>
      <c r="J413" s="96" t="n">
        <v>0.22</v>
      </c>
      <c r="K413" s="95" t="n">
        <f>I413*(1+J413)</f>
        <v>24.2048</v>
      </c>
      <c r="L413" s="96" t="n">
        <v>0.3</v>
      </c>
      <c r="M413" s="95" t="n">
        <f>K413*(1+L413)</f>
        <v>31.46624</v>
      </c>
      <c r="N413" t="str">
        <v>CAMICON · Quito</v>
      </c>
      <c r="O413" t="str">
        <v>Octubre–diciembre 2025</v>
      </c>
      <c r="P413" s="97" t="str">
        <v>REFERENCIAL QUITO · utilidad 30% provisional</v>
      </c>
      <c r="Q413" t="str">
        <v>INSTALACIONES ELÉCTRICAS</v>
      </c>
      <c r="R413" t="str">
        <v>punto de iluminacion thhn 2x12 awg conduit emt galvanizado 1/2"</v>
      </c>
    </row>
    <row r="414">
      <c r="A414" t="str">
        <v>CAM-0409</v>
      </c>
      <c r="B414" t="str">
        <v>ILUMINACIÓN</v>
      </c>
      <c r="C414" t="str">
        <v>18.0204</v>
      </c>
      <c r="D414" s="97" t="str">
        <v>PUNTO DE ILUMINACIÓN THHN 2X12 + 1X14 AWG CONDUIT EMT GALVANIZADO 1/2"</v>
      </c>
      <c r="E414" t="str">
        <v>pto</v>
      </c>
      <c r="F414" s="95" t="n">
        <v>8.78</v>
      </c>
      <c r="G414" s="95" t="n">
        <v>12.13</v>
      </c>
      <c r="H414" s="95" t="n">
        <v>0.61</v>
      </c>
      <c r="I414" s="95" t="n">
        <v>21.52</v>
      </c>
      <c r="J414" s="96" t="n">
        <v>0.22</v>
      </c>
      <c r="K414" s="95" t="n">
        <f>I414*(1+J414)</f>
        <v>26.2544</v>
      </c>
      <c r="L414" s="96" t="n">
        <v>0.3</v>
      </c>
      <c r="M414" s="95" t="n">
        <f>K414*(1+L414)</f>
        <v>34.130720000000004</v>
      </c>
      <c r="N414" t="str">
        <v>CAMICON · Quito</v>
      </c>
      <c r="O414" t="str">
        <v>Octubre–diciembre 2025</v>
      </c>
      <c r="P414" s="97" t="str">
        <v>REFERENCIAL QUITO · utilidad 30% provisional</v>
      </c>
      <c r="Q414" t="str">
        <v>INSTALACIONES ELÉCTRICAS</v>
      </c>
      <c r="R414" t="str">
        <v>punto de iluminacion thhn 2x12 + 1x14 awg conduit emt galvanizado 1/2"</v>
      </c>
    </row>
    <row r="415">
      <c r="A415" t="str">
        <v>CAM-0410</v>
      </c>
      <c r="B415" t="str">
        <v>ILUMINACIÓN</v>
      </c>
      <c r="C415" t="str">
        <v>18.0205</v>
      </c>
      <c r="D415" s="97" t="str">
        <v>PUNTO DE ILUMINACIÓN PARA DICROICOS THHN 2X14 AWG NO INC. DICROICO</v>
      </c>
      <c r="E415" t="str">
        <v>pto</v>
      </c>
      <c r="F415" s="95" t="n">
        <v>1.51</v>
      </c>
      <c r="G415" s="95" t="n">
        <v>4.94</v>
      </c>
      <c r="H415" s="95" t="n">
        <v>0.25</v>
      </c>
      <c r="I415" s="95" t="n">
        <v>6.7</v>
      </c>
      <c r="J415" s="96" t="n">
        <v>0.22</v>
      </c>
      <c r="K415" s="95" t="n">
        <f>I415*(1+J415)</f>
        <v>8.174</v>
      </c>
      <c r="L415" s="96" t="n">
        <v>0.3</v>
      </c>
      <c r="M415" s="95" t="n">
        <f>K415*(1+L415)</f>
        <v>10.626199999999999</v>
      </c>
      <c r="N415" t="str">
        <v>CAMICON · Quito</v>
      </c>
      <c r="O415" t="str">
        <v>Octubre–diciembre 2025</v>
      </c>
      <c r="P415" s="97" t="str">
        <v>REFERENCIAL QUITO · utilidad 30% provisional</v>
      </c>
      <c r="Q415" t="str">
        <v>INSTALACIONES ELÉCTRICAS</v>
      </c>
      <c r="R415" t="str">
        <v>punto de iluminacion para dicroicos thhn 2x14 awg no inc. dicroico</v>
      </c>
    </row>
    <row r="416">
      <c r="A416" t="str">
        <v>CAM-0411</v>
      </c>
      <c r="B416" t="str">
        <v>OBRA CIVIL</v>
      </c>
      <c r="C416" t="str">
        <v>18.0301</v>
      </c>
      <c r="D416" s="97" t="str">
        <v>PUNTO DE TOMACORRIENTE THHN 2X12 + 1X14 AWG MANGUERA DE POLIETILENO 1/2"</v>
      </c>
      <c r="E416" t="str">
        <v>pto</v>
      </c>
      <c r="F416" s="95" t="n">
        <v>8.17</v>
      </c>
      <c r="G416" s="95" t="n">
        <v>13.03</v>
      </c>
      <c r="H416" s="95" t="n">
        <v>0.65</v>
      </c>
      <c r="I416" s="95" t="n">
        <v>21.85</v>
      </c>
      <c r="J416" s="96" t="n">
        <v>0.22</v>
      </c>
      <c r="K416" s="95" t="n">
        <f>I416*(1+J416)</f>
        <v>26.657</v>
      </c>
      <c r="L416" s="96" t="n">
        <v>0.3</v>
      </c>
      <c r="M416" s="95" t="n">
        <f>K416*(1+L416)</f>
        <v>34.6541</v>
      </c>
      <c r="N416" t="str">
        <v>CAMICON · Quito</v>
      </c>
      <c r="O416" t="str">
        <v>Octubre–diciembre 2025</v>
      </c>
      <c r="P416" s="97" t="str">
        <v>REFERENCIAL QUITO · utilidad 30% provisional</v>
      </c>
      <c r="Q416" t="str">
        <v>INSTALACIONES ELÉCTRICAS</v>
      </c>
      <c r="R416" t="str">
        <v>punto de tomacorriente thhn 2x12 + 1x14 awg manguera de polietileno 1/2"</v>
      </c>
    </row>
    <row r="417">
      <c r="A417" t="str">
        <v>CAM-0412</v>
      </c>
      <c r="B417" t="str">
        <v>OBRA CIVIL</v>
      </c>
      <c r="C417" t="str">
        <v>18.0302</v>
      </c>
      <c r="D417" s="97" t="str">
        <v>PUNTO DE TOMACORRIENTE THHN 2X12 + 1X14 AWG CONDUIT EMT GALVANIZADO 1/2"</v>
      </c>
      <c r="E417" t="str">
        <v>pto</v>
      </c>
      <c r="F417" s="95" t="n">
        <v>10.57</v>
      </c>
      <c r="G417" s="95" t="n">
        <v>13.93</v>
      </c>
      <c r="H417" s="95" t="n">
        <v>0.7</v>
      </c>
      <c r="I417" s="95" t="n">
        <v>25.2</v>
      </c>
      <c r="J417" s="96" t="n">
        <v>0.22</v>
      </c>
      <c r="K417" s="95" t="n">
        <f>I417*(1+J417)</f>
        <v>30.744</v>
      </c>
      <c r="L417" s="96" t="n">
        <v>0.3</v>
      </c>
      <c r="M417" s="95" t="n">
        <f>K417*(1+L417)</f>
        <v>39.9672</v>
      </c>
      <c r="N417" t="str">
        <v>CAMICON · Quito</v>
      </c>
      <c r="O417" t="str">
        <v>Octubre–diciembre 2025</v>
      </c>
      <c r="P417" s="97" t="str">
        <v>REFERENCIAL QUITO · utilidad 30% provisional</v>
      </c>
      <c r="Q417" t="str">
        <v>INSTALACIONES ELÉCTRICAS</v>
      </c>
      <c r="R417" t="str">
        <v>punto de tomacorriente thhn 2x12 + 1x14 awg conduit emt galvanizado 1/2"</v>
      </c>
    </row>
    <row r="418">
      <c r="A418" t="str">
        <v>CAM-0413</v>
      </c>
      <c r="B418" t="str">
        <v>OBRA CIVIL</v>
      </c>
      <c r="C418" t="str">
        <v>18.0303</v>
      </c>
      <c r="D418" s="97" t="str">
        <v>PUNTO DE TOMACORRIENTE ESPECIAL 110V L=12 M. THHN 2X12 + 1X14 AWG MANGUERA DE POLIETILENO 1/2"</v>
      </c>
      <c r="E418" t="str">
        <v>pto</v>
      </c>
      <c r="F418" s="95" t="n">
        <v>21.19</v>
      </c>
      <c r="G418" s="95" t="n">
        <v>35.94</v>
      </c>
      <c r="H418" s="95" t="n">
        <v>1.8</v>
      </c>
      <c r="I418" s="95" t="n">
        <v>58.93</v>
      </c>
      <c r="J418" s="96" t="n">
        <v>0.22</v>
      </c>
      <c r="K418" s="95" t="n">
        <f>I418*(1+J418)</f>
        <v>71.8946</v>
      </c>
      <c r="L418" s="96" t="n">
        <v>0.3</v>
      </c>
      <c r="M418" s="95" t="n">
        <f>K418*(1+L418)</f>
        <v>93.46298</v>
      </c>
      <c r="N418" t="str">
        <v>CAMICON · Quito</v>
      </c>
      <c r="O418" t="str">
        <v>Octubre–diciembre 2025</v>
      </c>
      <c r="P418" s="97" t="str">
        <v>REFERENCIAL QUITO · utilidad 30% provisional</v>
      </c>
      <c r="Q418" t="str">
        <v>INSTALACIONES ELÉCTRICAS</v>
      </c>
      <c r="R418" t="str">
        <v>punto de tomacorriente especial 110v l=12 m. thhn 2x12 + 1x14 awg manguera de polietileno 1/2"</v>
      </c>
    </row>
    <row r="419">
      <c r="A419" t="str">
        <v>CAM-0414</v>
      </c>
      <c r="B419" t="str">
        <v>OBRA CIVIL</v>
      </c>
      <c r="C419" t="str">
        <v>18.0304</v>
      </c>
      <c r="D419" s="97" t="str">
        <v>PUNTO DE TOMACORRIENTE ESPECIAL 220V L=12 M. THHN 2X12 + 1X14 AWG MANGUERA DE POLIETILENO 1/2"</v>
      </c>
      <c r="E419" t="str">
        <v>pto</v>
      </c>
      <c r="F419" s="95" t="n">
        <v>28.15</v>
      </c>
      <c r="G419" s="95" t="n">
        <v>37.75</v>
      </c>
      <c r="H419" s="95" t="n">
        <v>1.89</v>
      </c>
      <c r="I419" s="95" t="n">
        <v>67.79</v>
      </c>
      <c r="J419" s="96" t="n">
        <v>0.22</v>
      </c>
      <c r="K419" s="95" t="n">
        <f>I419*(1+J419)</f>
        <v>82.7038</v>
      </c>
      <c r="L419" s="96" t="n">
        <v>0.3</v>
      </c>
      <c r="M419" s="95" t="n">
        <f>K419*(1+L419)</f>
        <v>107.51494000000001</v>
      </c>
      <c r="N419" t="str">
        <v>CAMICON · Quito</v>
      </c>
      <c r="O419" t="str">
        <v>Octubre–diciembre 2025</v>
      </c>
      <c r="P419" s="97" t="str">
        <v>REFERENCIAL QUITO · utilidad 30% provisional</v>
      </c>
      <c r="Q419" t="str">
        <v>INSTALACIONES ELÉCTRICAS</v>
      </c>
      <c r="R419" t="str">
        <v>punto de tomacorriente especial 220v l=12 m. thhn 2x12 + 1x14 awg manguera de polietileno 1/2"</v>
      </c>
    </row>
    <row r="420">
      <c r="A420" t="str">
        <v>CAM-0415</v>
      </c>
      <c r="B420" t="str">
        <v>OBRA CIVIL</v>
      </c>
      <c r="C420" t="str">
        <v>18.0305</v>
      </c>
      <c r="D420" s="97" t="str">
        <v>PUNTO DE TOMACORRIENTE ESPECIAL 220V L=12 M. THHN 2X10 + 1X12 AWG MANGUERA DE POLIETILENO 1/2"</v>
      </c>
      <c r="E420" t="str">
        <v>pto</v>
      </c>
      <c r="F420" s="95" t="n">
        <v>42.76</v>
      </c>
      <c r="G420" s="95" t="n">
        <v>37.75</v>
      </c>
      <c r="H420" s="95" t="n">
        <v>1.89</v>
      </c>
      <c r="I420" s="95" t="n">
        <v>82.4</v>
      </c>
      <c r="J420" s="96" t="n">
        <v>0.22</v>
      </c>
      <c r="K420" s="95" t="n">
        <f>I420*(1+J420)</f>
        <v>100.528</v>
      </c>
      <c r="L420" s="96" t="n">
        <v>0.3</v>
      </c>
      <c r="M420" s="95" t="n">
        <f>K420*(1+L420)</f>
        <v>130.68640000000002</v>
      </c>
      <c r="N420" t="str">
        <v>CAMICON · Quito</v>
      </c>
      <c r="O420" t="str">
        <v>Octubre–diciembre 2025</v>
      </c>
      <c r="P420" s="97" t="str">
        <v>REFERENCIAL QUITO · utilidad 30% provisional</v>
      </c>
      <c r="Q420" t="str">
        <v>INSTALACIONES ELÉCTRICAS</v>
      </c>
      <c r="R420" t="str">
        <v>punto de tomacorriente especial 220v l=12 m. thhn 2x10 + 1x12 awg manguera de polietileno 1/2"</v>
      </c>
    </row>
    <row r="421">
      <c r="A421" t="str">
        <v>CAM-0416</v>
      </c>
      <c r="B421" t="str">
        <v>OBRA CIVIL</v>
      </c>
      <c r="C421" t="str">
        <v>18.0401</v>
      </c>
      <c r="D421" s="97" t="str">
        <v>BREAKER 1 POLO 16 AMP</v>
      </c>
      <c r="E421" t="str">
        <v>u</v>
      </c>
      <c r="F421" s="95" t="n">
        <v>7.4</v>
      </c>
      <c r="G421" s="95" t="n">
        <v>4.5</v>
      </c>
      <c r="H421" s="95" t="n">
        <v>0.23</v>
      </c>
      <c r="I421" s="95" t="n">
        <v>12.13</v>
      </c>
      <c r="J421" s="96" t="n">
        <v>0.22</v>
      </c>
      <c r="K421" s="95" t="n">
        <f>I421*(1+J421)</f>
        <v>14.7986</v>
      </c>
      <c r="L421" s="96" t="n">
        <v>0.3</v>
      </c>
      <c r="M421" s="95" t="n">
        <f>K421*(1+L421)</f>
        <v>19.23818</v>
      </c>
      <c r="N421" t="str">
        <v>CAMICON · Quito</v>
      </c>
      <c r="O421" t="str">
        <v>Octubre–diciembre 2025</v>
      </c>
      <c r="P421" s="97" t="str">
        <v>REFERENCIAL QUITO · utilidad 30% provisional</v>
      </c>
      <c r="Q421" t="str">
        <v>INSTALACIONES ELÉCTRICAS</v>
      </c>
      <c r="R421" t="str">
        <v>breaker 1 polo 16 amp</v>
      </c>
    </row>
    <row r="422">
      <c r="A422" t="str">
        <v>CAM-0417</v>
      </c>
      <c r="B422" t="str">
        <v>OBRA CIVIL</v>
      </c>
      <c r="C422" t="str">
        <v>18.0402</v>
      </c>
      <c r="D422" s="97" t="str">
        <v>BREAKER 1 POLO 40 AMP</v>
      </c>
      <c r="E422" t="str">
        <v>u</v>
      </c>
      <c r="F422" s="95" t="n">
        <v>7.86</v>
      </c>
      <c r="G422" s="95" t="n">
        <v>4.54</v>
      </c>
      <c r="H422" s="95" t="n">
        <v>0.23</v>
      </c>
      <c r="I422" s="95" t="n">
        <v>12.63</v>
      </c>
      <c r="J422" s="96" t="n">
        <v>0.22</v>
      </c>
      <c r="K422" s="95" t="n">
        <f>I422*(1+J422)</f>
        <v>15.4086</v>
      </c>
      <c r="L422" s="96" t="n">
        <v>0.3</v>
      </c>
      <c r="M422" s="95" t="n">
        <f>K422*(1+L422)</f>
        <v>20.03118</v>
      </c>
      <c r="N422" t="str">
        <v>CAMICON · Quito</v>
      </c>
      <c r="O422" t="str">
        <v>Octubre–diciembre 2025</v>
      </c>
      <c r="P422" s="97" t="str">
        <v>REFERENCIAL QUITO · utilidad 30% provisional</v>
      </c>
      <c r="Q422" t="str">
        <v>INSTALACIONES ELÉCTRICAS</v>
      </c>
      <c r="R422" t="str">
        <v>breaker 1 polo 40 amp</v>
      </c>
    </row>
    <row r="423">
      <c r="A423" t="str">
        <v>CAM-0418</v>
      </c>
      <c r="B423" t="str">
        <v>OBRA CIVIL</v>
      </c>
      <c r="C423" t="str">
        <v>18.0403</v>
      </c>
      <c r="D423" s="97" t="str">
        <v>BREAKER 2 POLOS 32 AMP</v>
      </c>
      <c r="E423" t="str">
        <v>u</v>
      </c>
      <c r="F423" s="95" t="n">
        <v>17.72</v>
      </c>
      <c r="G423" s="95" t="n">
        <v>4.62</v>
      </c>
      <c r="H423" s="95" t="n">
        <v>0.23</v>
      </c>
      <c r="I423" s="95" t="n">
        <v>22.57</v>
      </c>
      <c r="J423" s="96" t="n">
        <v>0.22</v>
      </c>
      <c r="K423" s="95" t="n">
        <f>I423*(1+J423)</f>
        <v>27.5354</v>
      </c>
      <c r="L423" s="96" t="n">
        <v>0.3</v>
      </c>
      <c r="M423" s="95" t="n">
        <f>K423*(1+L423)</f>
        <v>35.79602</v>
      </c>
      <c r="N423" t="str">
        <v>CAMICON · Quito</v>
      </c>
      <c r="O423" t="str">
        <v>Octubre–diciembre 2025</v>
      </c>
      <c r="P423" s="97" t="str">
        <v>REFERENCIAL QUITO · utilidad 30% provisional</v>
      </c>
      <c r="Q423" t="str">
        <v>INSTALACIONES ELÉCTRICAS</v>
      </c>
      <c r="R423" t="str">
        <v>breaker 2 polos 32 amp</v>
      </c>
    </row>
    <row r="424">
      <c r="A424" t="str">
        <v>CAM-0419</v>
      </c>
      <c r="B424" t="str">
        <v>OBRA CIVIL</v>
      </c>
      <c r="C424" t="str">
        <v>18.0404</v>
      </c>
      <c r="D424" s="97" t="str">
        <v>CAJA DE DISTRIBUCION / CENTRO DE CARGA 1 PUNTO</v>
      </c>
      <c r="E424" t="str">
        <v>u</v>
      </c>
      <c r="F424" s="95" t="n">
        <v>18.46</v>
      </c>
      <c r="G424" s="95" t="n">
        <v>15.97</v>
      </c>
      <c r="H424" s="95" t="n">
        <v>0.8</v>
      </c>
      <c r="I424" s="95" t="n">
        <v>35.23</v>
      </c>
      <c r="J424" s="96" t="n">
        <v>0.22</v>
      </c>
      <c r="K424" s="95" t="n">
        <f>I424*(1+J424)</f>
        <v>42.980599999999995</v>
      </c>
      <c r="L424" s="96" t="n">
        <v>0.3</v>
      </c>
      <c r="M424" s="95" t="n">
        <f>K424*(1+L424)</f>
        <v>55.874779999999994</v>
      </c>
      <c r="N424" t="str">
        <v>CAMICON · Quito</v>
      </c>
      <c r="O424" t="str">
        <v>Octubre–diciembre 2025</v>
      </c>
      <c r="P424" s="97" t="str">
        <v>REFERENCIAL QUITO · utilidad 30% provisional</v>
      </c>
      <c r="Q424" t="str">
        <v>INSTALACIONES ELÉCTRICAS</v>
      </c>
      <c r="R424" t="str">
        <v>caja de distribucion / centro de carga 1 punto</v>
      </c>
    </row>
    <row r="425">
      <c r="A425" t="str">
        <v>CAM-0420</v>
      </c>
      <c r="B425" t="str">
        <v>OBRA CIVIL</v>
      </c>
      <c r="C425" t="str">
        <v>18.0405</v>
      </c>
      <c r="D425" s="97" t="str">
        <v>CAJA DE DISTRIBUCION / CENTRO DE CARGA 2 PUNTOS</v>
      </c>
      <c r="E425" t="str">
        <v>u</v>
      </c>
      <c r="F425" s="95" t="n">
        <v>25.65</v>
      </c>
      <c r="G425" s="95" t="n">
        <v>15.97</v>
      </c>
      <c r="H425" s="95" t="n">
        <v>0.8</v>
      </c>
      <c r="I425" s="95" t="n">
        <v>42.42</v>
      </c>
      <c r="J425" s="96" t="n">
        <v>0.22</v>
      </c>
      <c r="K425" s="95" t="n">
        <f>I425*(1+J425)</f>
        <v>51.7524</v>
      </c>
      <c r="L425" s="96" t="n">
        <v>0.3</v>
      </c>
      <c r="M425" s="95" t="n">
        <f>K425*(1+L425)</f>
        <v>67.27812</v>
      </c>
      <c r="N425" t="str">
        <v>CAMICON · Quito</v>
      </c>
      <c r="O425" t="str">
        <v>Octubre–diciembre 2025</v>
      </c>
      <c r="P425" s="97" t="str">
        <v>REFERENCIAL QUITO · utilidad 30% provisional</v>
      </c>
      <c r="Q425" t="str">
        <v>INSTALACIONES ELÉCTRICAS</v>
      </c>
      <c r="R425" t="str">
        <v>caja de distribucion / centro de carga 2 puntos</v>
      </c>
    </row>
    <row r="426">
      <c r="A426" t="str">
        <v>CAM-0421</v>
      </c>
      <c r="B426" t="str">
        <v>OBRA CIVIL</v>
      </c>
      <c r="C426" t="str">
        <v>18.0406</v>
      </c>
      <c r="D426" s="97" t="str">
        <v>CAJA DE DISTRIBUCION / CENTRO DE CARGA 4 PUNTOS</v>
      </c>
      <c r="E426" t="str">
        <v>u</v>
      </c>
      <c r="F426" s="95" t="n">
        <v>38.69</v>
      </c>
      <c r="G426" s="95" t="n">
        <v>16.06</v>
      </c>
      <c r="H426" s="95" t="n">
        <v>0.8</v>
      </c>
      <c r="I426" s="95" t="n">
        <v>55.55</v>
      </c>
      <c r="J426" s="96" t="n">
        <v>0.22</v>
      </c>
      <c r="K426" s="95" t="n">
        <f>I426*(1+J426)</f>
        <v>67.771</v>
      </c>
      <c r="L426" s="96" t="n">
        <v>0.3</v>
      </c>
      <c r="M426" s="95" t="n">
        <f>K426*(1+L426)</f>
        <v>88.1023</v>
      </c>
      <c r="N426" t="str">
        <v>CAMICON · Quito</v>
      </c>
      <c r="O426" t="str">
        <v>Octubre–diciembre 2025</v>
      </c>
      <c r="P426" s="97" t="str">
        <v>REFERENCIAL QUITO · utilidad 30% provisional</v>
      </c>
      <c r="Q426" t="str">
        <v>INSTALACIONES ELÉCTRICAS</v>
      </c>
      <c r="R426" t="str">
        <v>caja de distribucion / centro de carga 4 puntos</v>
      </c>
    </row>
    <row r="427">
      <c r="A427" t="str">
        <v>CAM-0422</v>
      </c>
      <c r="B427" t="str">
        <v>OBRA CIVIL</v>
      </c>
      <c r="C427" t="str">
        <v>18.0407</v>
      </c>
      <c r="D427" s="97" t="str">
        <v>CAJA DE DISTRIBUCION / CENTRO DE CARGA 6 PUNTOS</v>
      </c>
      <c r="E427" t="str">
        <v>u</v>
      </c>
      <c r="F427" s="95" t="n">
        <v>46.24</v>
      </c>
      <c r="G427" s="95" t="n">
        <v>16.08</v>
      </c>
      <c r="H427" s="95" t="n">
        <v>0.8</v>
      </c>
      <c r="I427" s="95" t="n">
        <v>63.12</v>
      </c>
      <c r="J427" s="96" t="n">
        <v>0.22</v>
      </c>
      <c r="K427" s="95" t="n">
        <f>I427*(1+J427)</f>
        <v>77.0064</v>
      </c>
      <c r="L427" s="96" t="n">
        <v>0.3</v>
      </c>
      <c r="M427" s="95" t="n">
        <f>K427*(1+L427)</f>
        <v>100.10832</v>
      </c>
      <c r="N427" t="str">
        <v>CAMICON · Quito</v>
      </c>
      <c r="O427" t="str">
        <v>Octubre–diciembre 2025</v>
      </c>
      <c r="P427" s="97" t="str">
        <v>REFERENCIAL QUITO · utilidad 30% provisional</v>
      </c>
      <c r="Q427" t="str">
        <v>INSTALACIONES ELÉCTRICAS</v>
      </c>
      <c r="R427" t="str">
        <v>caja de distribucion / centro de carga 6 puntos</v>
      </c>
    </row>
    <row r="428">
      <c r="A428" t="str">
        <v>CAM-0423</v>
      </c>
      <c r="B428" t="str">
        <v>OBRA CIVIL</v>
      </c>
      <c r="C428" t="str">
        <v>18.0408</v>
      </c>
      <c r="D428" s="97" t="str">
        <v>CAJA DE DISTRIBUCION / CENTRO DE CARGA 8 PUNTOS</v>
      </c>
      <c r="E428" t="str">
        <v>u</v>
      </c>
      <c r="F428" s="95" t="n">
        <v>50.22</v>
      </c>
      <c r="G428" s="95" t="n">
        <v>16.16</v>
      </c>
      <c r="H428" s="95" t="n">
        <v>0.81</v>
      </c>
      <c r="I428" s="95" t="n">
        <v>67.19</v>
      </c>
      <c r="J428" s="96" t="n">
        <v>0.22</v>
      </c>
      <c r="K428" s="95" t="n">
        <f>I428*(1+J428)</f>
        <v>81.9718</v>
      </c>
      <c r="L428" s="96" t="n">
        <v>0.3</v>
      </c>
      <c r="M428" s="95" t="n">
        <f>K428*(1+L428)</f>
        <v>106.56334000000001</v>
      </c>
      <c r="N428" t="str">
        <v>CAMICON · Quito</v>
      </c>
      <c r="O428" t="str">
        <v>Octubre–diciembre 2025</v>
      </c>
      <c r="P428" s="97" t="str">
        <v>REFERENCIAL QUITO · utilidad 30% provisional</v>
      </c>
      <c r="Q428" t="str">
        <v>INSTALACIONES ELÉCTRICAS</v>
      </c>
      <c r="R428" t="str">
        <v>caja de distribucion / centro de carga 8 puntos</v>
      </c>
    </row>
    <row r="429">
      <c r="A429" t="str">
        <v>CAM-0424</v>
      </c>
      <c r="B429" t="str">
        <v>OBRA CIVIL</v>
      </c>
      <c r="C429" t="str">
        <v>18.0409</v>
      </c>
      <c r="D429" s="97" t="str">
        <v>CAJA DE DISTRIBUCION / CENTRO DE CARGA 12 PUNTOS</v>
      </c>
      <c r="E429" t="str">
        <v>u</v>
      </c>
      <c r="F429" s="95" t="n">
        <v>73.67</v>
      </c>
      <c r="G429" s="95" t="n">
        <v>16.14</v>
      </c>
      <c r="H429" s="95" t="n">
        <v>0.81</v>
      </c>
      <c r="I429" s="95" t="n">
        <v>90.62</v>
      </c>
      <c r="J429" s="96" t="n">
        <v>0.22</v>
      </c>
      <c r="K429" s="95" t="n">
        <f>I429*(1+J429)</f>
        <v>110.5564</v>
      </c>
      <c r="L429" s="96" t="n">
        <v>0.3</v>
      </c>
      <c r="M429" s="95" t="n">
        <f>K429*(1+L429)</f>
        <v>143.72332</v>
      </c>
      <c r="N429" t="str">
        <v>CAMICON · Quito</v>
      </c>
      <c r="O429" t="str">
        <v>Octubre–diciembre 2025</v>
      </c>
      <c r="P429" s="97" t="str">
        <v>REFERENCIAL QUITO · utilidad 30% provisional</v>
      </c>
      <c r="Q429" t="str">
        <v>INSTALACIONES ELÉCTRICAS</v>
      </c>
      <c r="R429" t="str">
        <v>caja de distribucion / centro de carga 12 puntos</v>
      </c>
    </row>
    <row r="430">
      <c r="A430" t="str">
        <v>CAM-0425</v>
      </c>
      <c r="B430" t="str">
        <v>OBRA CIVIL</v>
      </c>
      <c r="C430" t="str">
        <v>18.0410</v>
      </c>
      <c r="D430" s="97" t="str">
        <v>CAJA DE DISTRIBUCION / CENTRO DE CARGA 3 PUNTOS TRIFASICO</v>
      </c>
      <c r="E430" t="str">
        <v>u</v>
      </c>
      <c r="F430" s="95" t="n">
        <v>49.07</v>
      </c>
      <c r="G430" s="95" t="n">
        <v>15.97</v>
      </c>
      <c r="H430" s="95" t="n">
        <v>0.8</v>
      </c>
      <c r="I430" s="95" t="n">
        <v>65.84</v>
      </c>
      <c r="J430" s="96" t="n">
        <v>0.22</v>
      </c>
      <c r="K430" s="95" t="n">
        <f>I430*(1+J430)</f>
        <v>80.3248</v>
      </c>
      <c r="L430" s="96" t="n">
        <v>0.3</v>
      </c>
      <c r="M430" s="95" t="n">
        <f>K430*(1+L430)</f>
        <v>104.42224</v>
      </c>
      <c r="N430" t="str">
        <v>CAMICON · Quito</v>
      </c>
      <c r="O430" t="str">
        <v>Octubre–diciembre 2025</v>
      </c>
      <c r="P430" s="97" t="str">
        <v>REFERENCIAL QUITO · utilidad 30% provisional</v>
      </c>
      <c r="Q430" t="str">
        <v>INSTALACIONES ELÉCTRICAS</v>
      </c>
      <c r="R430" t="str">
        <v>caja de distribucion / centro de carga 3 puntos trifasico</v>
      </c>
    </row>
    <row r="431">
      <c r="A431" t="str">
        <v>CAM-0426</v>
      </c>
      <c r="B431" t="str">
        <v>OBRA CIVIL</v>
      </c>
      <c r="C431" t="str">
        <v>18.0411</v>
      </c>
      <c r="D431" s="97" t="str">
        <v>CAJA DE DISTRIBUCION / CENTRO DE CARGA 6 PUNTOS TRIFASICO</v>
      </c>
      <c r="E431" t="str">
        <v>u</v>
      </c>
      <c r="F431" s="95" t="n">
        <v>72.3</v>
      </c>
      <c r="G431" s="95" t="n">
        <v>16.08</v>
      </c>
      <c r="H431" s="95" t="n">
        <v>0.8</v>
      </c>
      <c r="I431" s="95" t="n">
        <v>89.18</v>
      </c>
      <c r="J431" s="96" t="n">
        <v>0.22</v>
      </c>
      <c r="K431" s="95" t="n">
        <f>I431*(1+J431)</f>
        <v>108.79960000000001</v>
      </c>
      <c r="L431" s="96" t="n">
        <v>0.3</v>
      </c>
      <c r="M431" s="95" t="n">
        <f>K431*(1+L431)</f>
        <v>141.43948000000003</v>
      </c>
      <c r="N431" t="str">
        <v>CAMICON · Quito</v>
      </c>
      <c r="O431" t="str">
        <v>Octubre–diciembre 2025</v>
      </c>
      <c r="P431" s="97" t="str">
        <v>REFERENCIAL QUITO · utilidad 30% provisional</v>
      </c>
      <c r="Q431" t="str">
        <v>INSTALACIONES ELÉCTRICAS</v>
      </c>
      <c r="R431" t="str">
        <v>caja de distribucion / centro de carga 6 puntos trifasico</v>
      </c>
    </row>
    <row r="432">
      <c r="A432" t="str">
        <v>CAM-0427</v>
      </c>
      <c r="B432" t="str">
        <v>OBRA CIVIL</v>
      </c>
      <c r="C432" t="str">
        <v>18.0412</v>
      </c>
      <c r="D432" s="97" t="str">
        <v>CAJA DE DISTRIBUCION / CENTRO DE CARGA 12 PUNTOS TRIFASICO</v>
      </c>
      <c r="E432" t="str">
        <v>u</v>
      </c>
      <c r="F432" s="95" t="n">
        <v>126.95</v>
      </c>
      <c r="G432" s="95" t="n">
        <v>16.16</v>
      </c>
      <c r="H432" s="95" t="n">
        <v>0.81</v>
      </c>
      <c r="I432" s="95" t="n">
        <v>143.92</v>
      </c>
      <c r="J432" s="96" t="n">
        <v>0.22</v>
      </c>
      <c r="K432" s="95" t="n">
        <f>I432*(1+J432)</f>
        <v>175.58239999999998</v>
      </c>
      <c r="L432" s="96" t="n">
        <v>0.3</v>
      </c>
      <c r="M432" s="95" t="n">
        <f>K432*(1+L432)</f>
        <v>228.25712</v>
      </c>
      <c r="N432" t="str">
        <v>CAMICON · Quito</v>
      </c>
      <c r="O432" t="str">
        <v>Octubre–diciembre 2025</v>
      </c>
      <c r="P432" s="97" t="str">
        <v>REFERENCIAL QUITO · utilidad 30% provisional</v>
      </c>
      <c r="Q432" t="str">
        <v>INSTALACIONES ELÉCTRICAS</v>
      </c>
      <c r="R432" t="str">
        <v>caja de distribucion / centro de carga 12 puntos trifasico</v>
      </c>
    </row>
    <row r="433">
      <c r="A433" t="str">
        <v>CAM-0428</v>
      </c>
      <c r="B433" t="str">
        <v>OBRA CIVIL</v>
      </c>
      <c r="C433" t="str">
        <v>18.0501</v>
      </c>
      <c r="D433" s="97" t="str">
        <v>DICROICO LED</v>
      </c>
      <c r="E433" t="str">
        <v>u</v>
      </c>
      <c r="F433" s="95" t="n">
        <v>2.15</v>
      </c>
      <c r="G433" s="95" t="n">
        <v>6.29</v>
      </c>
      <c r="H433" s="95" t="n">
        <v>0.31</v>
      </c>
      <c r="I433" s="95" t="n">
        <v>8.75</v>
      </c>
      <c r="J433" s="96" t="n">
        <v>0.22</v>
      </c>
      <c r="K433" s="95" t="n">
        <f>I433*(1+J433)</f>
        <v>10.674999999999999</v>
      </c>
      <c r="L433" s="96" t="n">
        <v>0.3</v>
      </c>
      <c r="M433" s="95" t="n">
        <f>K433*(1+L433)</f>
        <v>13.8775</v>
      </c>
      <c r="N433" t="str">
        <v>CAMICON · Quito</v>
      </c>
      <c r="O433" t="str">
        <v>Octubre–diciembre 2025</v>
      </c>
      <c r="P433" s="97" t="str">
        <v>REFERENCIAL QUITO · utilidad 30% provisional</v>
      </c>
      <c r="Q433" t="str">
        <v>INSTALACIONES ELÉCTRICAS</v>
      </c>
      <c r="R433" t="str">
        <v>dicroico led</v>
      </c>
    </row>
    <row r="434">
      <c r="A434" t="str">
        <v>CAM-0429</v>
      </c>
      <c r="B434" t="str">
        <v>ILUMINACIÓN</v>
      </c>
      <c r="C434" t="str">
        <v>18.0502</v>
      </c>
      <c r="D434" s="97" t="str">
        <v>LÁMPARA LED INDUSTRIALES 200 W</v>
      </c>
      <c r="E434" t="str">
        <v>u</v>
      </c>
      <c r="F434" s="95" t="n">
        <v>87.84</v>
      </c>
      <c r="G434" s="95" t="n">
        <v>19.17</v>
      </c>
      <c r="H434" s="95" t="n">
        <v>12.56</v>
      </c>
      <c r="I434" s="95" t="n">
        <v>119.57</v>
      </c>
      <c r="J434" s="96" t="n">
        <v>0.22</v>
      </c>
      <c r="K434" s="95" t="n">
        <f>I434*(1+J434)</f>
        <v>145.87539999999998</v>
      </c>
      <c r="L434" s="96" t="n">
        <v>0.3</v>
      </c>
      <c r="M434" s="95" t="n">
        <f>K434*(1+L434)</f>
        <v>189.63801999999998</v>
      </c>
      <c r="N434" t="str">
        <v>CAMICON · Quito</v>
      </c>
      <c r="O434" t="str">
        <v>Octubre–diciembre 2025</v>
      </c>
      <c r="P434" s="97" t="str">
        <v>REFERENCIAL QUITO · utilidad 30% provisional</v>
      </c>
      <c r="Q434" t="str">
        <v>INSTALACIONES ELÉCTRICAS</v>
      </c>
      <c r="R434" t="str">
        <v>lampara led industriales 200 w</v>
      </c>
    </row>
    <row r="435">
      <c r="A435" t="str">
        <v>CAM-0430</v>
      </c>
      <c r="B435" t="str">
        <v>OBRA CIVIL</v>
      </c>
      <c r="C435" t="str">
        <v>18.0503</v>
      </c>
      <c r="D435" s="97" t="str">
        <v>POZO REVISIÓN INS. ELÉCTRICA 0.70X0.70X1.00 M TAPA</v>
      </c>
      <c r="E435" t="str">
        <v>u</v>
      </c>
      <c r="F435" s="95" t="n">
        <v>54.04</v>
      </c>
      <c r="G435" s="95" t="n">
        <v>35.94</v>
      </c>
      <c r="H435" s="95" t="n">
        <v>2.17</v>
      </c>
      <c r="I435" s="95" t="n">
        <v>92.15</v>
      </c>
      <c r="J435" s="96" t="n">
        <v>0.22</v>
      </c>
      <c r="K435" s="95" t="n">
        <f>I435*(1+J435)</f>
        <v>112.423</v>
      </c>
      <c r="L435" s="96" t="n">
        <v>0.3</v>
      </c>
      <c r="M435" s="95" t="n">
        <f>K435*(1+L435)</f>
        <v>146.1499</v>
      </c>
      <c r="N435" t="str">
        <v>CAMICON · Quito</v>
      </c>
      <c r="O435" t="str">
        <v>Octubre–diciembre 2025</v>
      </c>
      <c r="P435" s="97" t="str">
        <v>REFERENCIAL QUITO · utilidad 30% provisional</v>
      </c>
      <c r="Q435" t="str">
        <v>INSTALACIONES ELÉCTRICAS</v>
      </c>
      <c r="R435" t="str">
        <v>pozo revision ins. electrica 0.70x0.70x1.00 m tapa</v>
      </c>
    </row>
    <row r="436">
      <c r="A436" t="str">
        <v>CAM-0431</v>
      </c>
      <c r="B436" t="str">
        <v>OBRA CIVIL</v>
      </c>
      <c r="C436" t="str">
        <v>18.0504</v>
      </c>
      <c r="D436" s="97" t="str">
        <v>TIMBRE INCLUYE PVC LIVIANO 1/2", ALAMBRE Y CAJA RECTANGULAR</v>
      </c>
      <c r="E436" t="str">
        <v>pto</v>
      </c>
      <c r="F436" s="95" t="n">
        <v>10.31</v>
      </c>
      <c r="G436" s="95" t="n">
        <v>14.38</v>
      </c>
      <c r="H436" s="95" t="n">
        <v>0.72</v>
      </c>
      <c r="I436" s="95" t="n">
        <v>25.41</v>
      </c>
      <c r="J436" s="96" t="n">
        <v>0.22</v>
      </c>
      <c r="K436" s="95" t="n">
        <f>I436*(1+J436)</f>
        <v>31.0002</v>
      </c>
      <c r="L436" s="96" t="n">
        <v>0.3</v>
      </c>
      <c r="M436" s="95" t="n">
        <f>K436*(1+L436)</f>
        <v>40.30026</v>
      </c>
      <c r="N436" t="str">
        <v>CAMICON · Quito</v>
      </c>
      <c r="O436" t="str">
        <v>Octubre–diciembre 2025</v>
      </c>
      <c r="P436" s="97" t="str">
        <v>REFERENCIAL QUITO · utilidad 30% provisional</v>
      </c>
      <c r="Q436" t="str">
        <v>INSTALACIONES ELÉCTRICAS</v>
      </c>
      <c r="R436" t="str">
        <v>timbre incluye pvc liviano 1/2", alambre y caja rectangular</v>
      </c>
    </row>
    <row r="437">
      <c r="A437" t="str">
        <v>CAM-0432</v>
      </c>
      <c r="B437" t="str">
        <v>OBRA CIVIL</v>
      </c>
      <c r="C437" t="str">
        <v>18.0505</v>
      </c>
      <c r="D437" s="97" t="str">
        <v>SALIDA INTERRUPTOR DOBLE (APLIQUE)</v>
      </c>
      <c r="E437" t="str">
        <v>pto</v>
      </c>
      <c r="F437" s="95" t="n">
        <v>5.25</v>
      </c>
      <c r="G437" s="95" t="n">
        <v>3.01</v>
      </c>
      <c r="H437" s="95" t="n">
        <v>0.15</v>
      </c>
      <c r="I437" s="95" t="n">
        <v>8.41</v>
      </c>
      <c r="J437" s="96" t="n">
        <v>0.22</v>
      </c>
      <c r="K437" s="95" t="n">
        <f>I437*(1+J437)</f>
        <v>10.2602</v>
      </c>
      <c r="L437" s="96" t="n">
        <v>0.3</v>
      </c>
      <c r="M437" s="95" t="n">
        <f>K437*(1+L437)</f>
        <v>13.33826</v>
      </c>
      <c r="N437" t="str">
        <v>CAMICON · Quito</v>
      </c>
      <c r="O437" t="str">
        <v>Octubre–diciembre 2025</v>
      </c>
      <c r="P437" s="97" t="str">
        <v>REFERENCIAL QUITO · utilidad 30% provisional</v>
      </c>
      <c r="Q437" t="str">
        <v>INSTALACIONES ELÉCTRICAS</v>
      </c>
      <c r="R437" t="str">
        <v>salida interruptor doble (aplique)</v>
      </c>
    </row>
    <row r="438">
      <c r="A438" t="str">
        <v>CAM-0433</v>
      </c>
      <c r="B438" t="str">
        <v>OBRA CIVIL</v>
      </c>
      <c r="C438" t="str">
        <v>18.0506</v>
      </c>
      <c r="D438" s="97" t="str">
        <v>VARILLA COPPERWELD, INC. CONECTOR</v>
      </c>
      <c r="E438" t="str">
        <v>u</v>
      </c>
      <c r="F438" s="95" t="n">
        <v>10.71</v>
      </c>
      <c r="G438" s="95" t="n">
        <v>18.91</v>
      </c>
      <c r="H438" s="95" t="n">
        <v>0.95</v>
      </c>
      <c r="I438" s="95" t="n">
        <v>30.57</v>
      </c>
      <c r="J438" s="96" t="n">
        <v>0.22</v>
      </c>
      <c r="K438" s="95" t="n">
        <f>I438*(1+J438)</f>
        <v>37.2954</v>
      </c>
      <c r="L438" s="96" t="n">
        <v>0.3</v>
      </c>
      <c r="M438" s="95" t="n">
        <f>K438*(1+L438)</f>
        <v>48.48402</v>
      </c>
      <c r="N438" t="str">
        <v>CAMICON · Quito</v>
      </c>
      <c r="O438" t="str">
        <v>Octubre–diciembre 2025</v>
      </c>
      <c r="P438" s="97" t="str">
        <v>REFERENCIAL QUITO · utilidad 30% provisional</v>
      </c>
      <c r="Q438" t="str">
        <v>INSTALACIONES ELÉCTRICAS</v>
      </c>
      <c r="R438" t="str">
        <v>varilla copperweld, inc. conector</v>
      </c>
    </row>
    <row r="439">
      <c r="A439" t="str">
        <v>CAM-0434</v>
      </c>
      <c r="B439" t="str">
        <v>OBRA CIVIL</v>
      </c>
      <c r="C439" t="str">
        <v>18.0601</v>
      </c>
      <c r="D439" s="97" t="str">
        <v>ACOMETIDA TELEFÓNICA 2P</v>
      </c>
      <c r="E439" t="str">
        <v>mtl</v>
      </c>
      <c r="F439" s="95" t="n">
        <v>0.96</v>
      </c>
      <c r="G439" s="95" t="n">
        <v>1.02</v>
      </c>
      <c r="H439" s="95" t="n">
        <v>0.05</v>
      </c>
      <c r="I439" s="95" t="n">
        <v>2.03</v>
      </c>
      <c r="J439" s="96" t="n">
        <v>0.22</v>
      </c>
      <c r="K439" s="95" t="n">
        <f>I439*(1+J439)</f>
        <v>2.4766</v>
      </c>
      <c r="L439" s="96" t="n">
        <v>0.3</v>
      </c>
      <c r="M439" s="95" t="n">
        <f>K439*(1+L439)</f>
        <v>3.21958</v>
      </c>
      <c r="N439" t="str">
        <v>CAMICON · Quito</v>
      </c>
      <c r="O439" t="str">
        <v>Octubre–diciembre 2025</v>
      </c>
      <c r="P439" s="97" t="str">
        <v>REFERENCIAL QUITO · utilidad 30% provisional</v>
      </c>
      <c r="Q439" t="str">
        <v>INSTALACIONES ELÉCTRICAS</v>
      </c>
      <c r="R439" t="str">
        <v>acometida telefonica 2p</v>
      </c>
    </row>
    <row r="440">
      <c r="A440" t="str">
        <v>CAM-0435</v>
      </c>
      <c r="B440" t="str">
        <v>OBRA CIVIL</v>
      </c>
      <c r="C440" t="str">
        <v>18.0602</v>
      </c>
      <c r="D440" s="97" t="str">
        <v>ACOMETIDA TELEFÓNICA 3P</v>
      </c>
      <c r="E440" t="str">
        <v>mtl</v>
      </c>
      <c r="F440" s="95" t="n">
        <v>1.34</v>
      </c>
      <c r="G440" s="95" t="n">
        <v>0</v>
      </c>
      <c r="H440" s="95" t="n">
        <v>0</v>
      </c>
      <c r="I440" s="95" t="n">
        <v>1.34</v>
      </c>
      <c r="J440" s="96" t="n">
        <v>0.22</v>
      </c>
      <c r="K440" s="95" t="n">
        <f>I440*(1+J440)</f>
        <v>1.6348</v>
      </c>
      <c r="L440" s="96" t="n">
        <v>0.3</v>
      </c>
      <c r="M440" s="95" t="n">
        <f>K440*(1+L440)</f>
        <v>2.1252400000000002</v>
      </c>
      <c r="N440" t="str">
        <v>CAMICON · Quito</v>
      </c>
      <c r="O440" t="str">
        <v>Octubre–diciembre 2025</v>
      </c>
      <c r="P440" s="97" t="str">
        <v>REFERENCIAL QUITO · utilidad 30% provisional</v>
      </c>
      <c r="Q440" t="str">
        <v>INSTALACIONES ELÉCTRICAS</v>
      </c>
      <c r="R440" t="str">
        <v>acometida telefonica 3p</v>
      </c>
    </row>
    <row r="441">
      <c r="A441" t="str">
        <v>CAM-0436</v>
      </c>
      <c r="B441" t="str">
        <v>OBRA CIVIL</v>
      </c>
      <c r="C441" t="str">
        <v>18.0603</v>
      </c>
      <c r="D441" s="97" t="str">
        <v>ACOMETIDA TELÉFONICA 4P</v>
      </c>
      <c r="E441" t="str">
        <v>mtl</v>
      </c>
      <c r="F441" s="95" t="n">
        <v>1.01</v>
      </c>
      <c r="G441" s="95" t="n">
        <v>1.19</v>
      </c>
      <c r="H441" s="95" t="n">
        <v>0.06</v>
      </c>
      <c r="I441" s="95" t="n">
        <v>2.26</v>
      </c>
      <c r="J441" s="96" t="n">
        <v>0.22</v>
      </c>
      <c r="K441" s="95" t="n">
        <f>I441*(1+J441)</f>
        <v>2.7571999999999997</v>
      </c>
      <c r="L441" s="96" t="n">
        <v>0.3</v>
      </c>
      <c r="M441" s="95" t="n">
        <f>K441*(1+L441)</f>
        <v>3.5843599999999998</v>
      </c>
      <c r="N441" t="str">
        <v>CAMICON · Quito</v>
      </c>
      <c r="O441" t="str">
        <v>Octubre–diciembre 2025</v>
      </c>
      <c r="P441" s="97" t="str">
        <v>REFERENCIAL QUITO · utilidad 30% provisional</v>
      </c>
      <c r="Q441" t="str">
        <v>INSTALACIONES ELÉCTRICAS</v>
      </c>
      <c r="R441" t="str">
        <v>acometida telefonica 4p</v>
      </c>
    </row>
    <row r="442">
      <c r="A442" t="str">
        <v>CAM-0437</v>
      </c>
      <c r="B442" t="str">
        <v>OBRA CIVIL</v>
      </c>
      <c r="C442" t="str">
        <v>18.0604</v>
      </c>
      <c r="D442" s="97" t="str">
        <v>ACOMETIDA TELEFÓNICA CABLE MULTIPAR</v>
      </c>
      <c r="E442" t="str">
        <v>mtl</v>
      </c>
      <c r="F442" s="95" t="n">
        <v>1.5</v>
      </c>
      <c r="G442" s="95" t="n">
        <v>0.63</v>
      </c>
      <c r="H442" s="95" t="n">
        <v>0.03</v>
      </c>
      <c r="I442" s="95" t="n">
        <v>2.16</v>
      </c>
      <c r="J442" s="96" t="n">
        <v>0.22</v>
      </c>
      <c r="K442" s="95" t="n">
        <f>I442*(1+J442)</f>
        <v>2.6352</v>
      </c>
      <c r="L442" s="96" t="n">
        <v>0.3</v>
      </c>
      <c r="M442" s="95" t="n">
        <f>K442*(1+L442)</f>
        <v>3.4257600000000004</v>
      </c>
      <c r="N442" t="str">
        <v>CAMICON · Quito</v>
      </c>
      <c r="O442" t="str">
        <v>Octubre–diciembre 2025</v>
      </c>
      <c r="P442" s="97" t="str">
        <v>REFERENCIAL QUITO · utilidad 30% provisional</v>
      </c>
      <c r="Q442" t="str">
        <v>INSTALACIONES ELÉCTRICAS</v>
      </c>
      <c r="R442" t="str">
        <v>acometida telefonica cable multipar</v>
      </c>
    </row>
    <row r="443">
      <c r="A443" t="str">
        <v>CAM-0438</v>
      </c>
      <c r="B443" t="str">
        <v>OBRA CIVIL</v>
      </c>
      <c r="C443" t="str">
        <v>18.0605</v>
      </c>
      <c r="D443" s="97" t="str">
        <v>SALIDA PARA TELÉFONOS, ALAMBRE TELEFÓNICO, ALUG 2 X20</v>
      </c>
      <c r="E443" t="str">
        <v>pto</v>
      </c>
      <c r="F443" s="95" t="n">
        <v>8.73</v>
      </c>
      <c r="G443" s="95" t="n">
        <v>17.97</v>
      </c>
      <c r="H443" s="95" t="n">
        <v>0.9</v>
      </c>
      <c r="I443" s="95" t="n">
        <v>27.6</v>
      </c>
      <c r="J443" s="96" t="n">
        <v>0.22</v>
      </c>
      <c r="K443" s="95" t="n">
        <f>I443*(1+J443)</f>
        <v>33.672000000000004</v>
      </c>
      <c r="L443" s="96" t="n">
        <v>0.3</v>
      </c>
      <c r="M443" s="95" t="n">
        <f>K443*(1+L443)</f>
        <v>43.77360000000001</v>
      </c>
      <c r="N443" t="str">
        <v>CAMICON · Quito</v>
      </c>
      <c r="O443" t="str">
        <v>Octubre–diciembre 2025</v>
      </c>
      <c r="P443" s="97" t="str">
        <v>REFERENCIAL QUITO · utilidad 30% provisional</v>
      </c>
      <c r="Q443" t="str">
        <v>INSTALACIONES ELÉCTRICAS</v>
      </c>
      <c r="R443" t="str">
        <v>salida para telefonos, alambre telefonico, alug 2 x20</v>
      </c>
    </row>
    <row r="444">
      <c r="A444" t="str">
        <v>CAM-0439</v>
      </c>
      <c r="B444" t="str">
        <v>OBRA CIVIL</v>
      </c>
      <c r="C444" t="str">
        <v>18.0606</v>
      </c>
      <c r="D444" s="97" t="str">
        <v>SALIDAS ANTENAS TV</v>
      </c>
      <c r="E444" t="str">
        <v>pto</v>
      </c>
      <c r="F444" s="95" t="n">
        <v>5.18</v>
      </c>
      <c r="G444" s="95" t="n">
        <v>14.38</v>
      </c>
      <c r="H444" s="95" t="n">
        <v>0.72</v>
      </c>
      <c r="I444" s="95" t="n">
        <v>20.28</v>
      </c>
      <c r="J444" s="96" t="n">
        <v>0.22</v>
      </c>
      <c r="K444" s="95" t="n">
        <f>I444*(1+J444)</f>
        <v>24.741600000000002</v>
      </c>
      <c r="L444" s="96" t="n">
        <v>0.3</v>
      </c>
      <c r="M444" s="95" t="n">
        <f>K444*(1+L444)</f>
        <v>32.164080000000006</v>
      </c>
      <c r="N444" t="str">
        <v>CAMICON · Quito</v>
      </c>
      <c r="O444" t="str">
        <v>Octubre–diciembre 2025</v>
      </c>
      <c r="P444" s="97" t="str">
        <v>REFERENCIAL QUITO · utilidad 30% provisional</v>
      </c>
      <c r="Q444" t="str">
        <v>INSTALACIONES ELÉCTRICAS</v>
      </c>
      <c r="R444" t="str">
        <v>salidas antenas tv</v>
      </c>
    </row>
    <row r="445">
      <c r="A445" t="str">
        <v>CAM-0440</v>
      </c>
      <c r="B445" t="str">
        <v>OBRA CIVIL</v>
      </c>
      <c r="C445" t="str">
        <v>18.0701</v>
      </c>
      <c r="D445" s="97" t="str">
        <v>CANALIZACIÓN CENTRAL (ESCALERILLA, TIPO MALLA Ó ELECTRO CANAL) Y ACCESORIOS</v>
      </c>
      <c r="E445" t="str">
        <v>mtl</v>
      </c>
      <c r="F445" s="95" t="n">
        <v>20.8</v>
      </c>
      <c r="G445" s="95" t="n">
        <v>2.87</v>
      </c>
      <c r="H445" s="95" t="n">
        <v>1.06</v>
      </c>
      <c r="I445" s="95" t="n">
        <v>24.73</v>
      </c>
      <c r="J445" s="96" t="n">
        <v>0.22</v>
      </c>
      <c r="K445" s="95" t="n">
        <f>I445*(1+J445)</f>
        <v>30.1706</v>
      </c>
      <c r="L445" s="96" t="n">
        <v>0.3</v>
      </c>
      <c r="M445" s="95" t="n">
        <f>K445*(1+L445)</f>
        <v>39.22178</v>
      </c>
      <c r="N445" t="str">
        <v>CAMICON · Quito</v>
      </c>
      <c r="O445" t="str">
        <v>Octubre–diciembre 2025</v>
      </c>
      <c r="P445" s="97" t="str">
        <v>REFERENCIAL QUITO · utilidad 30% provisional</v>
      </c>
      <c r="Q445" t="str">
        <v>INSTALACIONES ELÉCTRICAS</v>
      </c>
      <c r="R445" t="str">
        <v>canalizacion central (escalerilla, tipo malla o electro canal) y accesorios</v>
      </c>
    </row>
    <row r="446">
      <c r="A446" t="str">
        <v>CAM-0441</v>
      </c>
      <c r="B446" t="str">
        <v>OBRA CIVIL</v>
      </c>
      <c r="C446" t="str">
        <v>18.0702</v>
      </c>
      <c r="D446" s="97" t="str">
        <v>TUBERÍA CONDUIT EMT 1/2" ,INC. ACCESORIOS</v>
      </c>
      <c r="E446" t="str">
        <v>mtl</v>
      </c>
      <c r="F446" s="95" t="n">
        <v>0.41</v>
      </c>
      <c r="G446" s="95" t="n">
        <v>1.02</v>
      </c>
      <c r="H446" s="95" t="n">
        <v>0.05</v>
      </c>
      <c r="I446" s="95" t="n">
        <v>1.48</v>
      </c>
      <c r="J446" s="96" t="n">
        <v>0.22</v>
      </c>
      <c r="K446" s="95" t="n">
        <f>I446*(1+J446)</f>
        <v>1.8055999999999999</v>
      </c>
      <c r="L446" s="96" t="n">
        <v>0.3</v>
      </c>
      <c r="M446" s="95" t="n">
        <f>K446*(1+L446)</f>
        <v>2.34728</v>
      </c>
      <c r="N446" t="str">
        <v>CAMICON · Quito</v>
      </c>
      <c r="O446" t="str">
        <v>Octubre–diciembre 2025</v>
      </c>
      <c r="P446" s="97" t="str">
        <v>REFERENCIAL QUITO · utilidad 30% provisional</v>
      </c>
      <c r="Q446" t="str">
        <v>INSTALACIONES ELÉCTRICAS</v>
      </c>
      <c r="R446" t="str">
        <v>tuberia conduit emt 1/2" ,inc. accesorios</v>
      </c>
    </row>
    <row r="447">
      <c r="A447" t="str">
        <v>CAM-0442</v>
      </c>
      <c r="B447" t="str">
        <v>OBRA CIVIL</v>
      </c>
      <c r="C447" t="str">
        <v>18.0703</v>
      </c>
      <c r="D447" s="97" t="str">
        <v>TUBERÍA CONDUIT EMT 3/4" ,INC. ACCESORIOS</v>
      </c>
      <c r="E447" t="str">
        <v>mtl</v>
      </c>
      <c r="F447" s="95" t="n">
        <v>0.58</v>
      </c>
      <c r="G447" s="95" t="n">
        <v>1.03</v>
      </c>
      <c r="H447" s="95" t="n">
        <v>0.05</v>
      </c>
      <c r="I447" s="95" t="n">
        <v>1.66</v>
      </c>
      <c r="J447" s="96" t="n">
        <v>0.22</v>
      </c>
      <c r="K447" s="95" t="n">
        <f>I447*(1+J447)</f>
        <v>2.0252</v>
      </c>
      <c r="L447" s="96" t="n">
        <v>0.3</v>
      </c>
      <c r="M447" s="95" t="n">
        <f>K447*(1+L447)</f>
        <v>2.6327599999999998</v>
      </c>
      <c r="N447" t="str">
        <v>CAMICON · Quito</v>
      </c>
      <c r="O447" t="str">
        <v>Octubre–diciembre 2025</v>
      </c>
      <c r="P447" s="97" t="str">
        <v>REFERENCIAL QUITO · utilidad 30% provisional</v>
      </c>
      <c r="Q447" t="str">
        <v>INSTALACIONES ELÉCTRICAS</v>
      </c>
      <c r="R447" t="str">
        <v>tuberia conduit emt 3/4" ,inc. accesorios</v>
      </c>
    </row>
    <row r="448">
      <c r="A448" t="str">
        <v>CAM-0443</v>
      </c>
      <c r="B448" t="str">
        <v>OBRA CIVIL</v>
      </c>
      <c r="C448" t="str">
        <v>18.0801</v>
      </c>
      <c r="D448" s="97" t="str">
        <v>CAMARA DOMO HD 720P DIA Y NOCHE</v>
      </c>
      <c r="E448" t="str">
        <v>u</v>
      </c>
      <c r="F448" s="95" t="n">
        <v>15.36</v>
      </c>
      <c r="G448" s="95" t="n">
        <v>26.96</v>
      </c>
      <c r="H448" s="95" t="n">
        <v>1.35</v>
      </c>
      <c r="I448" s="95" t="n">
        <v>43.67</v>
      </c>
      <c r="J448" s="96" t="n">
        <v>0.22</v>
      </c>
      <c r="K448" s="95" t="n">
        <f>I448*(1+J448)</f>
        <v>53.2774</v>
      </c>
      <c r="L448" s="96" t="n">
        <v>0.3</v>
      </c>
      <c r="M448" s="95" t="n">
        <f>K448*(1+L448)</f>
        <v>69.26062</v>
      </c>
      <c r="N448" t="str">
        <v>CAMICON · Quito</v>
      </c>
      <c r="O448" t="str">
        <v>Octubre–diciembre 2025</v>
      </c>
      <c r="P448" s="97" t="str">
        <v>REFERENCIAL QUITO · utilidad 30% provisional</v>
      </c>
      <c r="Q448" t="str">
        <v>INSTALACIONES ELÉCTRICAS</v>
      </c>
      <c r="R448" t="str">
        <v>camara domo hd 720p dia y noche</v>
      </c>
    </row>
    <row r="449">
      <c r="A449" t="str">
        <v>CAM-0444</v>
      </c>
      <c r="B449" t="str">
        <v>OBRA CIVIL</v>
      </c>
      <c r="C449" t="str">
        <v>18.0802</v>
      </c>
      <c r="D449" s="97" t="str">
        <v>CAMARA DOMO HD 1080P DIA Y NOCHE</v>
      </c>
      <c r="E449" t="str">
        <v>u</v>
      </c>
      <c r="F449" s="95" t="n">
        <v>17.51</v>
      </c>
      <c r="G449" s="95" t="n">
        <v>26.96</v>
      </c>
      <c r="H449" s="95" t="n">
        <v>1.35</v>
      </c>
      <c r="I449" s="95" t="n">
        <v>45.82</v>
      </c>
      <c r="J449" s="96" t="n">
        <v>0.22</v>
      </c>
      <c r="K449" s="95" t="n">
        <f>I449*(1+J449)</f>
        <v>55.9004</v>
      </c>
      <c r="L449" s="96" t="n">
        <v>0.3</v>
      </c>
      <c r="M449" s="95" t="n">
        <f>K449*(1+L449)</f>
        <v>72.67052</v>
      </c>
      <c r="N449" t="str">
        <v>CAMICON · Quito</v>
      </c>
      <c r="O449" t="str">
        <v>Octubre–diciembre 2025</v>
      </c>
      <c r="P449" s="97" t="str">
        <v>REFERENCIAL QUITO · utilidad 30% provisional</v>
      </c>
      <c r="Q449" t="str">
        <v>INSTALACIONES ELÉCTRICAS</v>
      </c>
      <c r="R449" t="str">
        <v>camara domo hd 1080p dia y noche</v>
      </c>
    </row>
    <row r="450">
      <c r="A450" t="str">
        <v>CAM-0445</v>
      </c>
      <c r="B450" t="str">
        <v>OBRA CIVIL</v>
      </c>
      <c r="C450" t="str">
        <v>18.0803</v>
      </c>
      <c r="D450" s="97" t="str">
        <v>CÁMARA IP TIPO BALA 720P DÍA Y NOCHE</v>
      </c>
      <c r="E450" t="str">
        <v>u</v>
      </c>
      <c r="F450" s="95" t="n">
        <v>32.31</v>
      </c>
      <c r="G450" s="95" t="n">
        <v>27.04</v>
      </c>
      <c r="H450" s="95" t="n">
        <v>1.35</v>
      </c>
      <c r="I450" s="95" t="n">
        <v>60.7</v>
      </c>
      <c r="J450" s="96" t="n">
        <v>0.22</v>
      </c>
      <c r="K450" s="95" t="n">
        <f>I450*(1+J450)</f>
        <v>74.054</v>
      </c>
      <c r="L450" s="96" t="n">
        <v>0.3</v>
      </c>
      <c r="M450" s="95" t="n">
        <f>K450*(1+L450)</f>
        <v>96.2702</v>
      </c>
      <c r="N450" t="str">
        <v>CAMICON · Quito</v>
      </c>
      <c r="O450" t="str">
        <v>Octubre–diciembre 2025</v>
      </c>
      <c r="P450" s="97" t="str">
        <v>REFERENCIAL QUITO · utilidad 30% provisional</v>
      </c>
      <c r="Q450" t="str">
        <v>INSTALACIONES ELÉCTRICAS</v>
      </c>
      <c r="R450" t="str">
        <v>camara ip tipo bala 720p dia y noche</v>
      </c>
    </row>
    <row r="451">
      <c r="A451" t="str">
        <v>CAM-0446</v>
      </c>
      <c r="B451" t="str">
        <v>OBRA CIVIL</v>
      </c>
      <c r="C451" t="str">
        <v>18.0804</v>
      </c>
      <c r="D451" s="97" t="str">
        <v>CÁMARA IP TIPO BALA 1080P DÍA Y NOCHE</v>
      </c>
      <c r="E451" t="str">
        <v>u</v>
      </c>
      <c r="F451" s="95" t="n">
        <v>47.75</v>
      </c>
      <c r="G451" s="95" t="n">
        <v>27.04</v>
      </c>
      <c r="H451" s="95" t="n">
        <v>1.35</v>
      </c>
      <c r="I451" s="95" t="n">
        <v>76.14</v>
      </c>
      <c r="J451" s="96" t="n">
        <v>0.22</v>
      </c>
      <c r="K451" s="95" t="n">
        <f>I451*(1+J451)</f>
        <v>92.8908</v>
      </c>
      <c r="L451" s="96" t="n">
        <v>0.3</v>
      </c>
      <c r="M451" s="95" t="n">
        <f>K451*(1+L451)</f>
        <v>120.75804000000001</v>
      </c>
      <c r="N451" t="str">
        <v>CAMICON · Quito</v>
      </c>
      <c r="O451" t="str">
        <v>Octubre–diciembre 2025</v>
      </c>
      <c r="P451" s="97" t="str">
        <v>REFERENCIAL QUITO · utilidad 30% provisional</v>
      </c>
      <c r="Q451" t="str">
        <v>INSTALACIONES ELÉCTRICAS</v>
      </c>
      <c r="R451" t="str">
        <v>camara ip tipo bala 1080p dia y noche</v>
      </c>
    </row>
    <row r="452">
      <c r="A452" t="str">
        <v>CAM-0447</v>
      </c>
      <c r="B452" t="str">
        <v>OBRA CIVIL</v>
      </c>
      <c r="C452" t="str">
        <v>18.0805</v>
      </c>
      <c r="D452" s="97" t="str">
        <v>SENSOR DE MOVIMIENTO</v>
      </c>
      <c r="E452" t="str">
        <v>u</v>
      </c>
      <c r="F452" s="95" t="n">
        <v>5.41</v>
      </c>
      <c r="G452" s="95" t="n">
        <v>9.88</v>
      </c>
      <c r="H452" s="95" t="n">
        <v>0.49</v>
      </c>
      <c r="I452" s="95" t="n">
        <v>15.78</v>
      </c>
      <c r="J452" s="96" t="n">
        <v>0.22</v>
      </c>
      <c r="K452" s="95" t="n">
        <f>I452*(1+J452)</f>
        <v>19.2516</v>
      </c>
      <c r="L452" s="96" t="n">
        <v>0.3</v>
      </c>
      <c r="M452" s="95" t="n">
        <f>K452*(1+L452)</f>
        <v>25.02708</v>
      </c>
      <c r="N452" t="str">
        <v>CAMICON · Quito</v>
      </c>
      <c r="O452" t="str">
        <v>Octubre–diciembre 2025</v>
      </c>
      <c r="P452" s="97" t="str">
        <v>REFERENCIAL QUITO · utilidad 30% provisional</v>
      </c>
      <c r="Q452" t="str">
        <v>INSTALACIONES ELÉCTRICAS</v>
      </c>
      <c r="R452" t="str">
        <v>sensor de movimiento</v>
      </c>
    </row>
    <row r="453">
      <c r="A453" t="str">
        <v>CAM-0448</v>
      </c>
      <c r="B453" t="str">
        <v>OBRA CIVIL</v>
      </c>
      <c r="C453" t="str">
        <v>19,0101</v>
      </c>
      <c r="D453" s="97" t="str">
        <v>CERRAMIENTO MALLA GALVANIZADA 50/10 H=2M</v>
      </c>
      <c r="E453" t="str">
        <v>mtl</v>
      </c>
      <c r="F453" s="95" t="n">
        <v>19.24</v>
      </c>
      <c r="G453" s="95" t="n">
        <v>17.45</v>
      </c>
      <c r="H453" s="95" t="n">
        <v>4.62</v>
      </c>
      <c r="I453" s="95" t="n">
        <v>41.31</v>
      </c>
      <c r="J453" s="96" t="n">
        <v>0.22</v>
      </c>
      <c r="K453" s="95" t="n">
        <f>I453*(1+J453)</f>
        <v>50.3982</v>
      </c>
      <c r="L453" s="96" t="n">
        <v>0.3</v>
      </c>
      <c r="M453" s="95" t="n">
        <f>K453*(1+L453)</f>
        <v>65.51766</v>
      </c>
      <c r="N453" t="str">
        <v>CAMICON · Quito</v>
      </c>
      <c r="O453" t="str">
        <v>Octubre–diciembre 2025</v>
      </c>
      <c r="P453" s="97" t="str">
        <v>REFERENCIAL QUITO · utilidad 30% provisional</v>
      </c>
      <c r="Q453" t="str">
        <v>OBRAS EXTERIORES</v>
      </c>
      <c r="R453" t="str">
        <v>cerramiento malla galvanizada 50/10 h=2m</v>
      </c>
    </row>
    <row r="454">
      <c r="A454" t="str">
        <v>CAM-0449</v>
      </c>
      <c r="B454" t="str">
        <v>OBRA CIVIL</v>
      </c>
      <c r="C454" t="str">
        <v>19,0102</v>
      </c>
      <c r="D454" s="97" t="str">
        <v>CERRAMIENTO CON MALLA ELECTROSOLDADA Y COLUMNAS DE HORMIGÓN</v>
      </c>
      <c r="E454" t="str">
        <v>mtl</v>
      </c>
      <c r="F454" s="95" t="n">
        <v>105.27</v>
      </c>
      <c r="G454" s="95" t="n">
        <v>8.59</v>
      </c>
      <c r="H454" s="95" t="n">
        <v>7.91</v>
      </c>
      <c r="I454" s="95" t="n">
        <v>121.77</v>
      </c>
      <c r="J454" s="96" t="n">
        <v>0.22</v>
      </c>
      <c r="K454" s="95" t="n">
        <f>I454*(1+J454)</f>
        <v>148.55939999999998</v>
      </c>
      <c r="L454" s="96" t="n">
        <v>0.3</v>
      </c>
      <c r="M454" s="95" t="n">
        <f>K454*(1+L454)</f>
        <v>193.12722</v>
      </c>
      <c r="N454" t="str">
        <v>CAMICON · Quito</v>
      </c>
      <c r="O454" t="str">
        <v>Octubre–diciembre 2025</v>
      </c>
      <c r="P454" s="97" t="str">
        <v>REFERENCIAL QUITO · utilidad 30% provisional</v>
      </c>
      <c r="Q454" t="str">
        <v>OBRAS EXTERIORES</v>
      </c>
      <c r="R454" t="str">
        <v>cerramiento con malla electrosoldada y columnas de hormigon</v>
      </c>
    </row>
    <row r="455">
      <c r="A455" t="str">
        <v>CAM-0450</v>
      </c>
      <c r="B455" t="str">
        <v>OBRA CIVIL</v>
      </c>
      <c r="C455" t="str">
        <v>19,0103</v>
      </c>
      <c r="D455" s="97" t="str">
        <v>CERRAMIENTO CON MAMPOSTERIA DE BLOQUE</v>
      </c>
      <c r="E455" t="str">
        <v>mtl</v>
      </c>
      <c r="F455" s="95" t="n">
        <v>74.18</v>
      </c>
      <c r="G455" s="95" t="n">
        <v>26.6</v>
      </c>
      <c r="H455" s="95" t="n">
        <v>18.83</v>
      </c>
      <c r="I455" s="95" t="n">
        <v>119.61</v>
      </c>
      <c r="J455" s="96" t="n">
        <v>0.22</v>
      </c>
      <c r="K455" s="95" t="n">
        <f>I455*(1+J455)</f>
        <v>145.92419999999998</v>
      </c>
      <c r="L455" s="96" t="n">
        <v>0.3</v>
      </c>
      <c r="M455" s="95" t="n">
        <f>K455*(1+L455)</f>
        <v>189.70146</v>
      </c>
      <c r="N455" t="str">
        <v>CAMICON · Quito</v>
      </c>
      <c r="O455" t="str">
        <v>Octubre–diciembre 2025</v>
      </c>
      <c r="P455" s="97" t="str">
        <v>REFERENCIAL QUITO · utilidad 30% provisional</v>
      </c>
      <c r="Q455" t="str">
        <v>OBRAS EXTERIORES</v>
      </c>
      <c r="R455" t="str">
        <v>cerramiento con mamposteria de bloque</v>
      </c>
    </row>
    <row r="456">
      <c r="A456" t="str">
        <v>CAM-0451</v>
      </c>
      <c r="B456" t="str">
        <v>OBRA CIVIL</v>
      </c>
      <c r="C456" t="str">
        <v>19,0104</v>
      </c>
      <c r="D456" s="97" t="str">
        <v>CERRAMIENTO CON MAMPOSTERIA DE BLOQUE CON FACHALETA DE ROCA</v>
      </c>
      <c r="E456" t="str">
        <v>mtl</v>
      </c>
      <c r="F456" s="95" t="n">
        <v>139.85</v>
      </c>
      <c r="G456" s="95" t="n">
        <v>30.09</v>
      </c>
      <c r="H456" s="95" t="n">
        <v>21.31</v>
      </c>
      <c r="I456" s="95" t="n">
        <v>191.25</v>
      </c>
      <c r="J456" s="96" t="n">
        <v>0.22</v>
      </c>
      <c r="K456" s="95" t="n">
        <f>I456*(1+J456)</f>
        <v>233.325</v>
      </c>
      <c r="L456" s="96" t="n">
        <v>0.3</v>
      </c>
      <c r="M456" s="95" t="n">
        <f>K456*(1+L456)</f>
        <v>303.3225</v>
      </c>
      <c r="N456" t="str">
        <v>CAMICON · Quito</v>
      </c>
      <c r="O456" t="str">
        <v>Octubre–diciembre 2025</v>
      </c>
      <c r="P456" s="97" t="str">
        <v>REFERENCIAL QUITO · utilidad 30% provisional</v>
      </c>
      <c r="Q456" t="str">
        <v>OBRAS EXTERIORES</v>
      </c>
      <c r="R456" t="str">
        <v>cerramiento con mamposteria de bloque con fachaleta de roca</v>
      </c>
    </row>
    <row r="457">
      <c r="A457" t="str">
        <v>CAM-0452</v>
      </c>
      <c r="B457" t="str">
        <v>OBRA CIVIL</v>
      </c>
      <c r="C457" t="str">
        <v>19,0105</v>
      </c>
      <c r="D457" s="97" t="str">
        <v>CERRAMIENTO CON MAMPOSTERIA DE LADRILLO JABONCILLO</v>
      </c>
      <c r="E457" t="str">
        <v>mtl</v>
      </c>
      <c r="F457" s="95" t="n">
        <v>82.53</v>
      </c>
      <c r="G457" s="95" t="n">
        <v>27.64</v>
      </c>
      <c r="H457" s="95" t="n">
        <v>19.57</v>
      </c>
      <c r="I457" s="95" t="n">
        <v>129.74</v>
      </c>
      <c r="J457" s="96" t="n">
        <v>0.22</v>
      </c>
      <c r="K457" s="95" t="n">
        <f>I457*(1+J457)</f>
        <v>158.2828</v>
      </c>
      <c r="L457" s="96" t="n">
        <v>0.3</v>
      </c>
      <c r="M457" s="95" t="n">
        <f>K457*(1+L457)</f>
        <v>205.76764000000003</v>
      </c>
      <c r="N457" t="str">
        <v>CAMICON · Quito</v>
      </c>
      <c r="O457" t="str">
        <v>Octubre–diciembre 2025</v>
      </c>
      <c r="P457" s="97" t="str">
        <v>REFERENCIAL QUITO · utilidad 30% provisional</v>
      </c>
      <c r="Q457" t="str">
        <v>OBRAS EXTERIORES</v>
      </c>
      <c r="R457" t="str">
        <v>cerramiento con mamposteria de ladrillo jaboncillo</v>
      </c>
    </row>
    <row r="458">
      <c r="A458" t="str">
        <v>CAM-0453</v>
      </c>
      <c r="B458" t="str">
        <v>OBRA CIVIL</v>
      </c>
      <c r="C458" t="str">
        <v>19,0106</v>
      </c>
      <c r="D458" s="97" t="str">
        <v>CERRAMIENTO CON PIEDRA BOLA Y CERCA DE MADERA</v>
      </c>
      <c r="E458" t="str">
        <v>mtl</v>
      </c>
      <c r="F458" s="95" t="n">
        <v>76.52</v>
      </c>
      <c r="G458" s="95" t="n">
        <v>12.23</v>
      </c>
      <c r="H458" s="95" t="n">
        <v>11.27</v>
      </c>
      <c r="I458" s="95" t="n">
        <v>100.02</v>
      </c>
      <c r="J458" s="96" t="n">
        <v>0.22</v>
      </c>
      <c r="K458" s="95" t="n">
        <f>I458*(1+J458)</f>
        <v>122.02439999999999</v>
      </c>
      <c r="L458" s="96" t="n">
        <v>0.3</v>
      </c>
      <c r="M458" s="95" t="n">
        <f>K458*(1+L458)</f>
        <v>158.63171999999997</v>
      </c>
      <c r="N458" t="str">
        <v>CAMICON · Quito</v>
      </c>
      <c r="O458" t="str">
        <v>Octubre–diciembre 2025</v>
      </c>
      <c r="P458" s="97" t="str">
        <v>REFERENCIAL QUITO · utilidad 30% provisional</v>
      </c>
      <c r="Q458" t="str">
        <v>OBRAS EXTERIORES</v>
      </c>
      <c r="R458" t="str">
        <v>cerramiento con piedra bola y cerca de madera</v>
      </c>
    </row>
    <row r="459">
      <c r="A459" t="str">
        <v>CAM-0454</v>
      </c>
      <c r="B459" t="str">
        <v>OBRA CIVIL</v>
      </c>
      <c r="C459" t="str">
        <v>19,0107</v>
      </c>
      <c r="D459" s="97" t="str">
        <v>ENCESPADO COLOCACIÓN DE CHAMBA EN TERRENO PREPARADO</v>
      </c>
      <c r="E459" t="str">
        <v>m²</v>
      </c>
      <c r="F459" s="95" t="n">
        <v>2.27</v>
      </c>
      <c r="G459" s="95" t="n">
        <v>1.97</v>
      </c>
      <c r="H459" s="95" t="n">
        <v>0.1</v>
      </c>
      <c r="I459" s="95" t="n">
        <v>4.34</v>
      </c>
      <c r="J459" s="96" t="n">
        <v>0.22</v>
      </c>
      <c r="K459" s="95" t="n">
        <f>I459*(1+J459)</f>
        <v>5.2947999999999995</v>
      </c>
      <c r="L459" s="96" t="n">
        <v>0.3</v>
      </c>
      <c r="M459" s="95" t="n">
        <f>K459*(1+L459)</f>
        <v>6.88324</v>
      </c>
      <c r="N459" t="str">
        <v>CAMICON · Quito</v>
      </c>
      <c r="O459" t="str">
        <v>Octubre–diciembre 2025</v>
      </c>
      <c r="P459" s="97" t="str">
        <v>REFERENCIAL QUITO · utilidad 30% provisional</v>
      </c>
      <c r="Q459" t="str">
        <v>OBRAS EXTERIORES</v>
      </c>
      <c r="R459" t="str">
        <v>encespado colocacion de chamba en terreno preparado</v>
      </c>
    </row>
    <row r="460">
      <c r="A460" t="str">
        <v>CAM-0455</v>
      </c>
      <c r="B460" t="str">
        <v>VARIOS, TRANSPORTE Y MONTAJE</v>
      </c>
      <c r="C460" t="str">
        <v>19,0108</v>
      </c>
      <c r="D460" s="97" t="str">
        <v>LIMPIEZA FINAL DE LA OBRA</v>
      </c>
      <c r="E460" t="str">
        <v>m²</v>
      </c>
      <c r="F460" s="95" t="n">
        <v>0.01</v>
      </c>
      <c r="G460" s="95" t="n">
        <v>2.07</v>
      </c>
      <c r="H460" s="95" t="n">
        <v>0.1</v>
      </c>
      <c r="I460" s="95" t="n">
        <v>2.18</v>
      </c>
      <c r="J460" s="96" t="n">
        <v>0.22</v>
      </c>
      <c r="K460" s="95" t="n">
        <f>I460*(1+J460)</f>
        <v>2.6596</v>
      </c>
      <c r="L460" s="96" t="n">
        <v>0.3</v>
      </c>
      <c r="M460" s="95" t="n">
        <f>K460*(1+L460)</f>
        <v>3.4574800000000003</v>
      </c>
      <c r="N460" t="str">
        <v>CAMICON · Quito</v>
      </c>
      <c r="O460" t="str">
        <v>Octubre–diciembre 2025</v>
      </c>
      <c r="P460" s="97" t="str">
        <v>REFERENCIAL QUITO · utilidad 30% provisional</v>
      </c>
      <c r="Q460" t="str">
        <v>OBRAS EXTERIORES</v>
      </c>
      <c r="R460" t="str">
        <v>limpieza final de la obra</v>
      </c>
    </row>
    <row r="461">
      <c r="A461" t="str">
        <v>CAM-0456</v>
      </c>
      <c r="B461" t="str">
        <v>OBRA CIVIL</v>
      </c>
      <c r="C461" t="str">
        <v>19,0109</v>
      </c>
      <c r="D461" s="97" t="str">
        <v>PLANTA - JARDINERA</v>
      </c>
      <c r="E461" t="str">
        <v>u</v>
      </c>
      <c r="F461" s="95" t="n">
        <v>15.01</v>
      </c>
      <c r="G461" s="95" t="n">
        <v>0.63</v>
      </c>
      <c r="H461" s="95" t="n">
        <v>0.03</v>
      </c>
      <c r="I461" s="95" t="n">
        <v>15.67</v>
      </c>
      <c r="J461" s="96" t="n">
        <v>0.22</v>
      </c>
      <c r="K461" s="95" t="n">
        <f>I461*(1+J461)</f>
        <v>19.1174</v>
      </c>
      <c r="L461" s="96" t="n">
        <v>0.3</v>
      </c>
      <c r="M461" s="95" t="n">
        <f>K461*(1+L461)</f>
        <v>24.85262</v>
      </c>
      <c r="N461" t="str">
        <v>CAMICON · Quito</v>
      </c>
      <c r="O461" t="str">
        <v>Octubre–diciembre 2025</v>
      </c>
      <c r="P461" s="97" t="str">
        <v>REFERENCIAL QUITO · utilidad 30% provisional</v>
      </c>
      <c r="Q461" t="str">
        <v>OBRAS EXTERIORES</v>
      </c>
      <c r="R461" t="str">
        <v>planta - jardinera</v>
      </c>
    </row>
    <row r="462">
      <c r="A462" t="str">
        <v>CAM-0457</v>
      </c>
      <c r="B462" t="str">
        <v>OBRA CIVIL</v>
      </c>
      <c r="C462" t="str">
        <v>20.0101</v>
      </c>
      <c r="D462" s="97" t="str">
        <v>ADOQUINADO VEHICULAR TIPO FLORENCIA HEXAGONAL E=8.0 CM FC=350KG/CM2 INC. CAMA DE ARENA</v>
      </c>
      <c r="E462" t="str">
        <v>m²</v>
      </c>
      <c r="F462" s="95" t="n">
        <v>9.58</v>
      </c>
      <c r="G462" s="95" t="n">
        <v>4.67</v>
      </c>
      <c r="H462" s="95" t="n">
        <v>0.67</v>
      </c>
      <c r="I462" s="95" t="n">
        <v>14.92</v>
      </c>
      <c r="J462" s="96" t="n">
        <v>0.22</v>
      </c>
      <c r="K462" s="95" t="n">
        <f>I462*(1+J462)</f>
        <v>18.2024</v>
      </c>
      <c r="L462" s="96" t="n">
        <v>0.3</v>
      </c>
      <c r="M462" s="95" t="n">
        <f>K462*(1+L462)</f>
        <v>23.663120000000003</v>
      </c>
      <c r="N462" t="str">
        <v>CAMICON · Quito</v>
      </c>
      <c r="O462" t="str">
        <v>Octubre–diciembre 2025</v>
      </c>
      <c r="P462" s="97" t="str">
        <v>REFERENCIAL QUITO · utilidad 30% provisional</v>
      </c>
      <c r="Q462" t="str">
        <v>INFRAESTRUCTURA VIAL</v>
      </c>
      <c r="R462" t="str">
        <v>adoquinado vehicular tipo florencia hexagonal e=8.0 cm fc=350kg/cm2 inc. cama de arena</v>
      </c>
    </row>
    <row r="463">
      <c r="A463" t="str">
        <v>CAM-0458</v>
      </c>
      <c r="B463" t="str">
        <v>OBRA CIVIL</v>
      </c>
      <c r="C463" t="str">
        <v>20.0102</v>
      </c>
      <c r="D463" s="97" t="str">
        <v>ADOQUINADO VEHICULAR TIPO FLORENCIA HEXAGONAL E=8.0 CM FC=400KG/CM2 INC. CAMA DE ARENA</v>
      </c>
      <c r="E463" t="str">
        <v>m²</v>
      </c>
      <c r="F463" s="95" t="n">
        <v>14.5</v>
      </c>
      <c r="G463" s="95" t="n">
        <v>4.67</v>
      </c>
      <c r="H463" s="95" t="n">
        <v>0.67</v>
      </c>
      <c r="I463" s="95" t="n">
        <v>19.84</v>
      </c>
      <c r="J463" s="96" t="n">
        <v>0.22</v>
      </c>
      <c r="K463" s="95" t="n">
        <f>I463*(1+J463)</f>
        <v>24.2048</v>
      </c>
      <c r="L463" s="96" t="n">
        <v>0.3</v>
      </c>
      <c r="M463" s="95" t="n">
        <f>K463*(1+L463)</f>
        <v>31.46624</v>
      </c>
      <c r="N463" t="str">
        <v>CAMICON · Quito</v>
      </c>
      <c r="O463" t="str">
        <v>Octubre–diciembre 2025</v>
      </c>
      <c r="P463" s="97" t="str">
        <v>REFERENCIAL QUITO · utilidad 30% provisional</v>
      </c>
      <c r="Q463" t="str">
        <v>INFRAESTRUCTURA VIAL</v>
      </c>
      <c r="R463" t="str">
        <v>adoquinado vehicular tipo florencia hexagonal e=8.0 cm fc=400kg/cm2 inc. cama de arena</v>
      </c>
    </row>
    <row r="464">
      <c r="A464" t="str">
        <v>CAM-0459</v>
      </c>
      <c r="B464" t="str">
        <v>OBRA CIVIL</v>
      </c>
      <c r="C464" t="str">
        <v>20.0103</v>
      </c>
      <c r="D464" s="97" t="str">
        <v>ADOQUINADO PEATONAL TIPO HEXAGONAL E=6.5 CM NATURAL INC. CAMA DE ARENA H=5CM</v>
      </c>
      <c r="E464" t="str">
        <v>m²</v>
      </c>
      <c r="F464" s="95" t="n">
        <v>13.71</v>
      </c>
      <c r="G464" s="95" t="n">
        <v>4.54</v>
      </c>
      <c r="H464" s="95" t="n">
        <v>0.65</v>
      </c>
      <c r="I464" s="95" t="n">
        <v>18.9</v>
      </c>
      <c r="J464" s="96" t="n">
        <v>0.22</v>
      </c>
      <c r="K464" s="95" t="n">
        <f>I464*(1+J464)</f>
        <v>23.057999999999996</v>
      </c>
      <c r="L464" s="96" t="n">
        <v>0.3</v>
      </c>
      <c r="M464" s="95" t="n">
        <f>K464*(1+L464)</f>
        <v>29.975399999999997</v>
      </c>
      <c r="N464" t="str">
        <v>CAMICON · Quito</v>
      </c>
      <c r="O464" t="str">
        <v>Octubre–diciembre 2025</v>
      </c>
      <c r="P464" s="97" t="str">
        <v>REFERENCIAL QUITO · utilidad 30% provisional</v>
      </c>
      <c r="Q464" t="str">
        <v>INFRAESTRUCTURA VIAL</v>
      </c>
      <c r="R464" t="str">
        <v>adoquinado peatonal tipo hexagonal e=6.5 cm natural inc. cama de arena h=5cm</v>
      </c>
    </row>
    <row r="465">
      <c r="A465" t="str">
        <v>CAM-0460</v>
      </c>
      <c r="B465" t="str">
        <v>OBRA CIVIL</v>
      </c>
      <c r="C465" t="str">
        <v>20.0104</v>
      </c>
      <c r="D465" s="97" t="str">
        <v>ADOQUINADO PEATONAL TIPO HEXAGONAL E=6.5 CM COLORES INC. CAMA DE ARENA H=5CM</v>
      </c>
      <c r="E465" t="str">
        <v>m²</v>
      </c>
      <c r="F465" s="95" t="n">
        <v>17.97</v>
      </c>
      <c r="G465" s="95" t="n">
        <v>4.54</v>
      </c>
      <c r="H465" s="95" t="n">
        <v>0.65</v>
      </c>
      <c r="I465" s="95" t="n">
        <v>23.16</v>
      </c>
      <c r="J465" s="96" t="n">
        <v>0.22</v>
      </c>
      <c r="K465" s="95" t="n">
        <f>I465*(1+J465)</f>
        <v>28.2552</v>
      </c>
      <c r="L465" s="96" t="n">
        <v>0.3</v>
      </c>
      <c r="M465" s="95" t="n">
        <f>K465*(1+L465)</f>
        <v>36.73176</v>
      </c>
      <c r="N465" t="str">
        <v>CAMICON · Quito</v>
      </c>
      <c r="O465" t="str">
        <v>Octubre–diciembre 2025</v>
      </c>
      <c r="P465" s="97" t="str">
        <v>REFERENCIAL QUITO · utilidad 30% provisional</v>
      </c>
      <c r="Q465" t="str">
        <v>INFRAESTRUCTURA VIAL</v>
      </c>
      <c r="R465" t="str">
        <v>adoquinado peatonal tipo hexagonal e=6.5 cm colores inc. cama de arena h=5cm</v>
      </c>
    </row>
    <row r="466">
      <c r="A466" t="str">
        <v>CAM-0461</v>
      </c>
      <c r="B466" t="str">
        <v>OBRA CIVIL</v>
      </c>
      <c r="C466" t="str">
        <v>20.0105</v>
      </c>
      <c r="D466" s="97" t="str">
        <v>ADOQUINADO PEATONAL TIPO RECTANGULAR 20X40 CM NATURAL INC. CAMA DE ARENA H=5CM</v>
      </c>
      <c r="E466" t="str">
        <v>m²</v>
      </c>
      <c r="F466" s="95" t="n">
        <v>2.49</v>
      </c>
      <c r="G466" s="95" t="n">
        <v>4.82</v>
      </c>
      <c r="H466" s="95" t="n">
        <v>0.69</v>
      </c>
      <c r="I466" s="95" t="n">
        <v>8</v>
      </c>
      <c r="J466" s="96" t="n">
        <v>0.22</v>
      </c>
      <c r="K466" s="95" t="n">
        <f>I466*(1+J466)</f>
        <v>9.76</v>
      </c>
      <c r="L466" s="96" t="n">
        <v>0.3</v>
      </c>
      <c r="M466" s="95" t="n">
        <f>K466*(1+L466)</f>
        <v>12.688</v>
      </c>
      <c r="N466" t="str">
        <v>CAMICON · Quito</v>
      </c>
      <c r="O466" t="str">
        <v>Octubre–diciembre 2025</v>
      </c>
      <c r="P466" s="97" t="str">
        <v>REFERENCIAL QUITO · utilidad 30% provisional</v>
      </c>
      <c r="Q466" t="str">
        <v>INFRAESTRUCTURA VIAL</v>
      </c>
      <c r="R466" t="str">
        <v>adoquinado peatonal tipo rectangular 20x40 cm natural inc. cama de arena h=5cm</v>
      </c>
    </row>
    <row r="467">
      <c r="A467" t="str">
        <v>CAM-0462</v>
      </c>
      <c r="B467" t="str">
        <v>OBRA CIVIL</v>
      </c>
      <c r="C467" t="str">
        <v>20.0106</v>
      </c>
      <c r="D467" s="97" t="str">
        <v>ADOQUINADO PEATONAL TIPO RECTANGULAR 20X40 CM COLORES INC. CAMA DE ARENA H=5CM</v>
      </c>
      <c r="E467" t="str">
        <v>m²</v>
      </c>
      <c r="F467" s="95" t="n">
        <v>2.89</v>
      </c>
      <c r="G467" s="95" t="n">
        <v>4.82</v>
      </c>
      <c r="H467" s="95" t="n">
        <v>0.69</v>
      </c>
      <c r="I467" s="95" t="n">
        <v>8.4</v>
      </c>
      <c r="J467" s="96" t="n">
        <v>0.22</v>
      </c>
      <c r="K467" s="95" t="n">
        <f>I467*(1+J467)</f>
        <v>10.248</v>
      </c>
      <c r="L467" s="96" t="n">
        <v>0.3</v>
      </c>
      <c r="M467" s="95" t="n">
        <f>K467*(1+L467)</f>
        <v>13.3224</v>
      </c>
      <c r="N467" t="str">
        <v>CAMICON · Quito</v>
      </c>
      <c r="O467" t="str">
        <v>Octubre–diciembre 2025</v>
      </c>
      <c r="P467" s="97" t="str">
        <v>REFERENCIAL QUITO · utilidad 30% provisional</v>
      </c>
      <c r="Q467" t="str">
        <v>INFRAESTRUCTURA VIAL</v>
      </c>
      <c r="R467" t="str">
        <v>adoquinado peatonal tipo rectangular 20x40 cm colores inc. cama de arena h=5cm</v>
      </c>
    </row>
    <row r="468">
      <c r="A468" t="str">
        <v>CAM-0463</v>
      </c>
      <c r="B468" t="str">
        <v>OBRA CIVIL</v>
      </c>
      <c r="C468" t="str">
        <v>20.0107</v>
      </c>
      <c r="D468" s="97" t="str">
        <v>ADOQUINADO PEATONAL TIPO JABONCILLO 10X20 CM NATURAL INC. CAMA DE ARENA H=5CM</v>
      </c>
      <c r="E468" t="str">
        <v>m²</v>
      </c>
      <c r="F468" s="95" t="n">
        <v>26.83</v>
      </c>
      <c r="G468" s="95" t="n">
        <v>4.85</v>
      </c>
      <c r="H468" s="95" t="n">
        <v>0.69</v>
      </c>
      <c r="I468" s="95" t="n">
        <v>32.37</v>
      </c>
      <c r="J468" s="96" t="n">
        <v>0.22</v>
      </c>
      <c r="K468" s="95" t="n">
        <f>I468*(1+J468)</f>
        <v>39.4914</v>
      </c>
      <c r="L468" s="96" t="n">
        <v>0.3</v>
      </c>
      <c r="M468" s="95" t="n">
        <f>K468*(1+L468)</f>
        <v>51.33882</v>
      </c>
      <c r="N468" t="str">
        <v>CAMICON · Quito</v>
      </c>
      <c r="O468" t="str">
        <v>Octubre–diciembre 2025</v>
      </c>
      <c r="P468" s="97" t="str">
        <v>REFERENCIAL QUITO · utilidad 30% provisional</v>
      </c>
      <c r="Q468" t="str">
        <v>INFRAESTRUCTURA VIAL</v>
      </c>
      <c r="R468" t="str">
        <v>adoquinado peatonal tipo jaboncillo 10x20 cm natural inc. cama de arena h=5cm</v>
      </c>
    </row>
    <row r="469">
      <c r="A469" t="str">
        <v>CAM-0464</v>
      </c>
      <c r="B469" t="str">
        <v>OBRA CIVIL</v>
      </c>
      <c r="C469" t="str">
        <v>20.0108</v>
      </c>
      <c r="D469" s="97" t="str">
        <v>ADOQUINADO PEATONAL TIPO JABONCILLO 10X20 CM COLORES INC. CAMA DE ARENA H=5CM</v>
      </c>
      <c r="E469" t="str">
        <v>m²</v>
      </c>
      <c r="F469" s="95" t="n">
        <v>26.83</v>
      </c>
      <c r="G469" s="95" t="n">
        <v>4.85</v>
      </c>
      <c r="H469" s="95" t="n">
        <v>0.69</v>
      </c>
      <c r="I469" s="95" t="n">
        <v>32.37</v>
      </c>
      <c r="J469" s="96" t="n">
        <v>0.22</v>
      </c>
      <c r="K469" s="95" t="n">
        <f>I469*(1+J469)</f>
        <v>39.4914</v>
      </c>
      <c r="L469" s="96" t="n">
        <v>0.3</v>
      </c>
      <c r="M469" s="95" t="n">
        <f>K469*(1+L469)</f>
        <v>51.33882</v>
      </c>
      <c r="N469" t="str">
        <v>CAMICON · Quito</v>
      </c>
      <c r="O469" t="str">
        <v>Octubre–diciembre 2025</v>
      </c>
      <c r="P469" s="97" t="str">
        <v>REFERENCIAL QUITO · utilidad 30% provisional</v>
      </c>
      <c r="Q469" t="str">
        <v>INFRAESTRUCTURA VIAL</v>
      </c>
      <c r="R469" t="str">
        <v>adoquinado peatonal tipo jaboncillo 10x20 cm colores inc. cama de arena h=5cm</v>
      </c>
    </row>
    <row r="470">
      <c r="A470" t="str">
        <v>CAM-0465</v>
      </c>
      <c r="B470" t="str">
        <v>OBRA CIVIL</v>
      </c>
      <c r="C470" t="str">
        <v>20.0109</v>
      </c>
      <c r="D470" s="97" t="str">
        <v>ADOQUINADO PEATONAL TIPO TREBOL NATURAL INC. CAMA DE ARENA H=5CM</v>
      </c>
      <c r="E470" t="str">
        <v>m²</v>
      </c>
      <c r="F470" s="95" t="n">
        <v>13.1</v>
      </c>
      <c r="G470" s="95" t="n">
        <v>4.63</v>
      </c>
      <c r="H470" s="95" t="n">
        <v>0.66</v>
      </c>
      <c r="I470" s="95" t="n">
        <v>18.39</v>
      </c>
      <c r="J470" s="96" t="n">
        <v>0.22</v>
      </c>
      <c r="K470" s="95" t="n">
        <f>I470*(1+J470)</f>
        <v>22.4358</v>
      </c>
      <c r="L470" s="96" t="n">
        <v>0.3</v>
      </c>
      <c r="M470" s="95" t="n">
        <f>K470*(1+L470)</f>
        <v>29.16654</v>
      </c>
      <c r="N470" t="str">
        <v>CAMICON · Quito</v>
      </c>
      <c r="O470" t="str">
        <v>Octubre–diciembre 2025</v>
      </c>
      <c r="P470" s="97" t="str">
        <v>REFERENCIAL QUITO · utilidad 30% provisional</v>
      </c>
      <c r="Q470" t="str">
        <v>INFRAESTRUCTURA VIAL</v>
      </c>
      <c r="R470" t="str">
        <v>adoquinado peatonal tipo trebol natural inc. cama de arena h=5cm</v>
      </c>
    </row>
    <row r="471">
      <c r="A471" t="str">
        <v>CAM-0466</v>
      </c>
      <c r="B471" t="str">
        <v>OBRA CIVIL</v>
      </c>
      <c r="C471" t="str">
        <v>20.0110</v>
      </c>
      <c r="D471" s="97" t="str">
        <v>ADOQUINADO PEATONAL TIPO TREBOL COLORES INC. CAMA DE ARENA H=5CM</v>
      </c>
      <c r="E471" t="str">
        <v>m²</v>
      </c>
      <c r="F471" s="95" t="n">
        <v>16.65</v>
      </c>
      <c r="G471" s="95" t="n">
        <v>4.63</v>
      </c>
      <c r="H471" s="95" t="n">
        <v>0.66</v>
      </c>
      <c r="I471" s="95" t="n">
        <v>21.94</v>
      </c>
      <c r="J471" s="96" t="n">
        <v>0.22</v>
      </c>
      <c r="K471" s="95" t="n">
        <f>I471*(1+J471)</f>
        <v>26.7668</v>
      </c>
      <c r="L471" s="96" t="n">
        <v>0.3</v>
      </c>
      <c r="M471" s="95" t="n">
        <f>K471*(1+L471)</f>
        <v>34.79684</v>
      </c>
      <c r="N471" t="str">
        <v>CAMICON · Quito</v>
      </c>
      <c r="O471" t="str">
        <v>Octubre–diciembre 2025</v>
      </c>
      <c r="P471" s="97" t="str">
        <v>REFERENCIAL QUITO · utilidad 30% provisional</v>
      </c>
      <c r="Q471" t="str">
        <v>INFRAESTRUCTURA VIAL</v>
      </c>
      <c r="R471" t="str">
        <v>adoquinado peatonal tipo trebol colores inc. cama de arena h=5cm</v>
      </c>
    </row>
    <row r="472">
      <c r="A472" t="str">
        <v>CAM-0467</v>
      </c>
      <c r="B472" t="str">
        <v>OBRA CIVIL</v>
      </c>
      <c r="C472" t="str">
        <v>20.0111</v>
      </c>
      <c r="D472" s="97" t="str">
        <v>ADOQUIN PEATONAL PODOTACTIL (LINEAS O PUPOS) FC=350 KG/CM2</v>
      </c>
      <c r="E472" t="str">
        <v>m²</v>
      </c>
      <c r="F472" s="95" t="n">
        <v>11.57</v>
      </c>
      <c r="G472" s="95" t="n">
        <v>4.7</v>
      </c>
      <c r="H472" s="95" t="n">
        <v>0.68</v>
      </c>
      <c r="I472" s="95" t="n">
        <v>16.95</v>
      </c>
      <c r="J472" s="96" t="n">
        <v>0.22</v>
      </c>
      <c r="K472" s="95" t="n">
        <f>I472*(1+J472)</f>
        <v>20.679</v>
      </c>
      <c r="L472" s="96" t="n">
        <v>0.3</v>
      </c>
      <c r="M472" s="95" t="n">
        <f>K472*(1+L472)</f>
        <v>26.8827</v>
      </c>
      <c r="N472" t="str">
        <v>CAMICON · Quito</v>
      </c>
      <c r="O472" t="str">
        <v>Octubre–diciembre 2025</v>
      </c>
      <c r="P472" s="97" t="str">
        <v>REFERENCIAL QUITO · utilidad 30% provisional</v>
      </c>
      <c r="Q472" t="str">
        <v>INFRAESTRUCTURA VIAL</v>
      </c>
      <c r="R472" t="str">
        <v>adoquin peatonal podotactil (lineas o pupos) fc=350 kg/cm2</v>
      </c>
    </row>
    <row r="473">
      <c r="A473" t="str">
        <v>CAM-0468</v>
      </c>
      <c r="B473" t="str">
        <v>OBRA CIVIL</v>
      </c>
      <c r="C473" t="str">
        <v>20.0112</v>
      </c>
      <c r="D473" s="97" t="str">
        <v>ADOQUIN PEATONAL PODOTACTIL (LINEAS O PUPOS) FC=400 KG/CM2</v>
      </c>
      <c r="E473" t="str">
        <v>m²</v>
      </c>
      <c r="F473" s="95" t="n">
        <v>13.04</v>
      </c>
      <c r="G473" s="95" t="n">
        <v>4.7</v>
      </c>
      <c r="H473" s="95" t="n">
        <v>0.68</v>
      </c>
      <c r="I473" s="95" t="n">
        <v>18.42</v>
      </c>
      <c r="J473" s="96" t="n">
        <v>0.22</v>
      </c>
      <c r="K473" s="95" t="n">
        <f>I473*(1+J473)</f>
        <v>22.4724</v>
      </c>
      <c r="L473" s="96" t="n">
        <v>0.3</v>
      </c>
      <c r="M473" s="95" t="n">
        <f>K473*(1+L473)</f>
        <v>29.21412</v>
      </c>
      <c r="N473" t="str">
        <v>CAMICON · Quito</v>
      </c>
      <c r="O473" t="str">
        <v>Octubre–diciembre 2025</v>
      </c>
      <c r="P473" s="97" t="str">
        <v>REFERENCIAL QUITO · utilidad 30% provisional</v>
      </c>
      <c r="Q473" t="str">
        <v>INFRAESTRUCTURA VIAL</v>
      </c>
      <c r="R473" t="str">
        <v>adoquin peatonal podotactil (lineas o pupos) fc=400 kg/cm2</v>
      </c>
    </row>
    <row r="474">
      <c r="A474" t="str">
        <v>CAM-0469</v>
      </c>
      <c r="B474" t="str">
        <v>OBRA CIVIL</v>
      </c>
      <c r="C474" t="str">
        <v>20.0201</v>
      </c>
      <c r="D474" s="97" t="str">
        <v>ACERA H.S. F´C= 180 KG/CM2, E= 6 CM</v>
      </c>
      <c r="E474" t="str">
        <v>m²</v>
      </c>
      <c r="F474" s="95" t="n">
        <v>6.89</v>
      </c>
      <c r="G474" s="95" t="n">
        <v>6.45</v>
      </c>
      <c r="H474" s="95" t="n">
        <v>1.1</v>
      </c>
      <c r="I474" s="95" t="n">
        <v>14.44</v>
      </c>
      <c r="J474" s="96" t="n">
        <v>0.22</v>
      </c>
      <c r="K474" s="95" t="n">
        <f>I474*(1+J474)</f>
        <v>17.616799999999998</v>
      </c>
      <c r="L474" s="96" t="n">
        <v>0.3</v>
      </c>
      <c r="M474" s="95" t="n">
        <f>K474*(1+L474)</f>
        <v>22.901839999999996</v>
      </c>
      <c r="N474" t="str">
        <v>CAMICON · Quito</v>
      </c>
      <c r="O474" t="str">
        <v>Octubre–diciembre 2025</v>
      </c>
      <c r="P474" s="97" t="str">
        <v>REFERENCIAL QUITO · utilidad 30% provisional</v>
      </c>
      <c r="Q474" t="str">
        <v>INFRAESTRUCTURA VIAL</v>
      </c>
      <c r="R474" t="str">
        <v>acera h.s. f´c= 180 kg/cm2, e= 6 cm</v>
      </c>
    </row>
    <row r="475">
      <c r="A475" t="str">
        <v>CAM-0470</v>
      </c>
      <c r="B475" t="str">
        <v>OBRA CIVIL</v>
      </c>
      <c r="C475" t="str">
        <v>20.0202</v>
      </c>
      <c r="D475" s="97" t="str">
        <v>BASE CLASE 2 EQUIPO: CAMIÓN CISTERNA, MOTONIVELADORA Y RODILLO</v>
      </c>
      <c r="E475" t="str">
        <v>m³</v>
      </c>
      <c r="F475" s="95" t="n">
        <v>11.19</v>
      </c>
      <c r="G475" s="95" t="n">
        <v>0.67</v>
      </c>
      <c r="H475" s="95" t="n">
        <v>3.61</v>
      </c>
      <c r="I475" s="95" t="n">
        <v>15.47</v>
      </c>
      <c r="J475" s="96" t="n">
        <v>0.22</v>
      </c>
      <c r="K475" s="95" t="n">
        <f>I475*(1+J475)</f>
        <v>18.8734</v>
      </c>
      <c r="L475" s="96" t="n">
        <v>0.3</v>
      </c>
      <c r="M475" s="95" t="n">
        <f>K475*(1+L475)</f>
        <v>24.535420000000002</v>
      </c>
      <c r="N475" t="str">
        <v>CAMICON · Quito</v>
      </c>
      <c r="O475" t="str">
        <v>Octubre–diciembre 2025</v>
      </c>
      <c r="P475" s="97" t="str">
        <v>REFERENCIAL QUITO · utilidad 30% provisional</v>
      </c>
      <c r="Q475" t="str">
        <v>INFRAESTRUCTURA VIAL</v>
      </c>
      <c r="R475" t="str">
        <v>base clase 2 equipo: camion cisterna, motoniveladora y rodillo</v>
      </c>
    </row>
    <row r="476">
      <c r="A476" t="str">
        <v>CAM-0471</v>
      </c>
      <c r="B476" t="str">
        <v>OBRA CIVIL</v>
      </c>
      <c r="C476" t="str">
        <v>20.0203</v>
      </c>
      <c r="D476" s="97" t="str">
        <v>BASE CLASE 3 EQUIPO: CAMIÓN CISTERNA, MOTONIVELADORA Y RODILLO</v>
      </c>
      <c r="E476" t="str">
        <v>m³</v>
      </c>
      <c r="F476" s="95" t="n">
        <v>15.46</v>
      </c>
      <c r="G476" s="95" t="n">
        <v>0.79</v>
      </c>
      <c r="H476" s="95" t="n">
        <v>3.62</v>
      </c>
      <c r="I476" s="95" t="n">
        <v>19.87</v>
      </c>
      <c r="J476" s="96" t="n">
        <v>0.22</v>
      </c>
      <c r="K476" s="95" t="n">
        <f>I476*(1+J476)</f>
        <v>24.241400000000002</v>
      </c>
      <c r="L476" s="96" t="n">
        <v>0.3</v>
      </c>
      <c r="M476" s="95" t="n">
        <f>K476*(1+L476)</f>
        <v>31.513820000000003</v>
      </c>
      <c r="N476" t="str">
        <v>CAMICON · Quito</v>
      </c>
      <c r="O476" t="str">
        <v>Octubre–diciembre 2025</v>
      </c>
      <c r="P476" s="97" t="str">
        <v>REFERENCIAL QUITO · utilidad 30% provisional</v>
      </c>
      <c r="Q476" t="str">
        <v>INFRAESTRUCTURA VIAL</v>
      </c>
      <c r="R476" t="str">
        <v>base clase 3 equipo: camion cisterna, motoniveladora y rodillo</v>
      </c>
    </row>
    <row r="477">
      <c r="A477" t="str">
        <v>CAM-0472</v>
      </c>
      <c r="B477" t="str">
        <v>OBRA CIVIL</v>
      </c>
      <c r="C477" t="str">
        <v>20.0204</v>
      </c>
      <c r="D477" s="97" t="str">
        <v>BERMA DE H.S. F´C=180 KG/CM2, H= 30 CM, B= 15 CM</v>
      </c>
      <c r="E477" t="str">
        <v>mtl</v>
      </c>
      <c r="F477" s="95" t="n">
        <v>7.7</v>
      </c>
      <c r="G477" s="95" t="n">
        <v>2.65</v>
      </c>
      <c r="H477" s="95" t="n">
        <v>1.7</v>
      </c>
      <c r="I477" s="95" t="n">
        <v>12.05</v>
      </c>
      <c r="J477" s="96" t="n">
        <v>0.22</v>
      </c>
      <c r="K477" s="95" t="n">
        <f>I477*(1+J477)</f>
        <v>14.701</v>
      </c>
      <c r="L477" s="96" t="n">
        <v>0.3</v>
      </c>
      <c r="M477" s="95" t="n">
        <f>K477*(1+L477)</f>
        <v>19.1113</v>
      </c>
      <c r="N477" t="str">
        <v>CAMICON · Quito</v>
      </c>
      <c r="O477" t="str">
        <v>Octubre–diciembre 2025</v>
      </c>
      <c r="P477" s="97" t="str">
        <v>REFERENCIAL QUITO · utilidad 30% provisional</v>
      </c>
      <c r="Q477" t="str">
        <v>INFRAESTRUCTURA VIAL</v>
      </c>
      <c r="R477" t="str">
        <v>berma de h.s. f´c=180 kg/cm2, h= 30 cm, b= 15 cm</v>
      </c>
    </row>
    <row r="478">
      <c r="A478" t="str">
        <v>CAM-0473</v>
      </c>
      <c r="B478" t="str">
        <v>OBRA CIVIL</v>
      </c>
      <c r="C478" t="str">
        <v>20.0205</v>
      </c>
      <c r="D478" s="97" t="str">
        <v>BERMA DE H.S. F`C= 210 KG/CM2, H= 30 CM, B= 15 CM</v>
      </c>
      <c r="E478" t="str">
        <v>mtl</v>
      </c>
      <c r="F478" s="95" t="n">
        <v>7.8</v>
      </c>
      <c r="G478" s="95" t="n">
        <v>3.96</v>
      </c>
      <c r="H478" s="95" t="n">
        <v>2.54</v>
      </c>
      <c r="I478" s="95" t="n">
        <v>14.3</v>
      </c>
      <c r="J478" s="96" t="n">
        <v>0.22</v>
      </c>
      <c r="K478" s="95" t="n">
        <f>I478*(1+J478)</f>
        <v>17.446</v>
      </c>
      <c r="L478" s="96" t="n">
        <v>0.3</v>
      </c>
      <c r="M478" s="95" t="n">
        <f>K478*(1+L478)</f>
        <v>22.679800000000004</v>
      </c>
      <c r="N478" t="str">
        <v>CAMICON · Quito</v>
      </c>
      <c r="O478" t="str">
        <v>Octubre–diciembre 2025</v>
      </c>
      <c r="P478" s="97" t="str">
        <v>REFERENCIAL QUITO · utilidad 30% provisional</v>
      </c>
      <c r="Q478" t="str">
        <v>INFRAESTRUCTURA VIAL</v>
      </c>
      <c r="R478" t="str">
        <v>berma de h.s. f`c= 210 kg/cm2, h= 30 cm, b= 15 cm</v>
      </c>
    </row>
    <row r="479">
      <c r="A479" t="str">
        <v>CAM-0474</v>
      </c>
      <c r="B479" t="str">
        <v>OBRA CIVIL</v>
      </c>
      <c r="C479" t="str">
        <v>20.0206</v>
      </c>
      <c r="D479" s="97" t="str">
        <v>BERMA PARA CALZADA F'C=180 KG/CM2, 25X8 CM</v>
      </c>
      <c r="E479" t="str">
        <v>mtl</v>
      </c>
      <c r="F479" s="95" t="n">
        <v>5.1</v>
      </c>
      <c r="G479" s="95" t="n">
        <v>2.38</v>
      </c>
      <c r="H479" s="95" t="n">
        <v>1.52</v>
      </c>
      <c r="I479" s="95" t="n">
        <v>9</v>
      </c>
      <c r="J479" s="96" t="n">
        <v>0.22</v>
      </c>
      <c r="K479" s="95" t="n">
        <f>I479*(1+J479)</f>
        <v>10.98</v>
      </c>
      <c r="L479" s="96" t="n">
        <v>0.3</v>
      </c>
      <c r="M479" s="95" t="n">
        <f>K479*(1+L479)</f>
        <v>14.274000000000001</v>
      </c>
      <c r="N479" t="str">
        <v>CAMICON · Quito</v>
      </c>
      <c r="O479" t="str">
        <v>Octubre–diciembre 2025</v>
      </c>
      <c r="P479" s="97" t="str">
        <v>REFERENCIAL QUITO · utilidad 30% provisional</v>
      </c>
      <c r="Q479" t="str">
        <v>INFRAESTRUCTURA VIAL</v>
      </c>
      <c r="R479" t="str">
        <v>berma para calzada f'c=180 kg/cm2, 25x8 cm</v>
      </c>
    </row>
    <row r="480">
      <c r="A480" t="str">
        <v>CAM-0475</v>
      </c>
      <c r="B480" t="str">
        <v>OBRA CIVIL</v>
      </c>
      <c r="C480" t="str">
        <v>20.0207</v>
      </c>
      <c r="D480" s="97" t="str">
        <v>BORDILLO DE H.S. F´C= 180 KG/CM2, H= 50 CM, A= 15 CM, (INC.ENCOFRADO 2 USOS)</v>
      </c>
      <c r="E480" t="str">
        <v>mtl</v>
      </c>
      <c r="F480" s="95" t="n">
        <v>12.36</v>
      </c>
      <c r="G480" s="95" t="n">
        <v>3.43</v>
      </c>
      <c r="H480" s="95" t="n">
        <v>1.39</v>
      </c>
      <c r="I480" s="95" t="n">
        <v>17.18</v>
      </c>
      <c r="J480" s="96" t="n">
        <v>0.22</v>
      </c>
      <c r="K480" s="95" t="n">
        <f>I480*(1+J480)</f>
        <v>20.9596</v>
      </c>
      <c r="L480" s="96" t="n">
        <v>0.3</v>
      </c>
      <c r="M480" s="95" t="n">
        <f>K480*(1+L480)</f>
        <v>27.24748</v>
      </c>
      <c r="N480" t="str">
        <v>CAMICON · Quito</v>
      </c>
      <c r="O480" t="str">
        <v>Octubre–diciembre 2025</v>
      </c>
      <c r="P480" s="97" t="str">
        <v>REFERENCIAL QUITO · utilidad 30% provisional</v>
      </c>
      <c r="Q480" t="str">
        <v>INFRAESTRUCTURA VIAL</v>
      </c>
      <c r="R480" t="str">
        <v>bordillo de h.s. f´c= 180 kg/cm2, h= 50 cm, a= 15 cm, (inc.encofrado 2 usos)</v>
      </c>
    </row>
    <row r="481">
      <c r="A481" t="str">
        <v>CAM-0476</v>
      </c>
      <c r="B481" t="str">
        <v>OBRA CIVIL</v>
      </c>
      <c r="C481" t="str">
        <v>20.0208</v>
      </c>
      <c r="D481" s="97" t="str">
        <v>BORDILLO DE H.S. F´C= 180 KG/CM2, H= 50 CM, A= 20 CM, (INC.ENCOFRADO 2 USOS)</v>
      </c>
      <c r="E481" t="str">
        <v>mtl</v>
      </c>
      <c r="F481" s="95" t="n">
        <v>13.15</v>
      </c>
      <c r="G481" s="95" t="n">
        <v>3.54</v>
      </c>
      <c r="H481" s="95" t="n">
        <v>1.43</v>
      </c>
      <c r="I481" s="95" t="n">
        <v>18.12</v>
      </c>
      <c r="J481" s="96" t="n">
        <v>0.22</v>
      </c>
      <c r="K481" s="95" t="n">
        <f>I481*(1+J481)</f>
        <v>22.1064</v>
      </c>
      <c r="L481" s="96" t="n">
        <v>0.3</v>
      </c>
      <c r="M481" s="95" t="n">
        <f>K481*(1+L481)</f>
        <v>28.73832</v>
      </c>
      <c r="N481" t="str">
        <v>CAMICON · Quito</v>
      </c>
      <c r="O481" t="str">
        <v>Octubre–diciembre 2025</v>
      </c>
      <c r="P481" s="97" t="str">
        <v>REFERENCIAL QUITO · utilidad 30% provisional</v>
      </c>
      <c r="Q481" t="str">
        <v>INFRAESTRUCTURA VIAL</v>
      </c>
      <c r="R481" t="str">
        <v>bordillo de h.s. f´c= 180 kg/cm2, h= 50 cm, a= 20 cm, (inc.encofrado 2 usos)</v>
      </c>
    </row>
    <row r="482">
      <c r="A482" t="str">
        <v>CAM-0477</v>
      </c>
      <c r="B482" t="str">
        <v>OBRA CIVIL</v>
      </c>
      <c r="C482" t="str">
        <v>20.0209</v>
      </c>
      <c r="D482" s="97" t="str">
        <v>BORDILLO DE H.S. F´C= 180 KG/CM2, H= 50 CM, A= 20 CM, (INC.ENCOFRADO METÀLICO)</v>
      </c>
      <c r="E482" t="str">
        <v>mtl</v>
      </c>
      <c r="F482" s="95" t="n">
        <v>13.24</v>
      </c>
      <c r="G482" s="95" t="n">
        <v>3.54</v>
      </c>
      <c r="H482" s="95" t="n">
        <v>1.43</v>
      </c>
      <c r="I482" s="95" t="n">
        <v>18.21</v>
      </c>
      <c r="J482" s="96" t="n">
        <v>0.22</v>
      </c>
      <c r="K482" s="95" t="n">
        <f>I482*(1+J482)</f>
        <v>22.2162</v>
      </c>
      <c r="L482" s="96" t="n">
        <v>0.3</v>
      </c>
      <c r="M482" s="95" t="n">
        <f>K482*(1+L482)</f>
        <v>28.88106</v>
      </c>
      <c r="N482" t="str">
        <v>CAMICON · Quito</v>
      </c>
      <c r="O482" t="str">
        <v>Octubre–diciembre 2025</v>
      </c>
      <c r="P482" s="97" t="str">
        <v>REFERENCIAL QUITO · utilidad 30% provisional</v>
      </c>
      <c r="Q482" t="str">
        <v>INFRAESTRUCTURA VIAL</v>
      </c>
      <c r="R482" t="str">
        <v>bordillo de h.s. f´c= 180 kg/cm2, h= 50 cm, a= 20 cm, (inc.encofrado metalico)</v>
      </c>
    </row>
    <row r="483">
      <c r="A483" t="str">
        <v>CAM-0478</v>
      </c>
      <c r="B483" t="str">
        <v>OBRA CIVIL</v>
      </c>
      <c r="C483" t="str">
        <v>20.0210</v>
      </c>
      <c r="D483" s="97" t="str">
        <v>BORDILLOS PREFABRICADO PESADO 100X50X15 CM</v>
      </c>
      <c r="E483" t="str">
        <v>mtl</v>
      </c>
      <c r="F483" s="95" t="n">
        <v>11.27</v>
      </c>
      <c r="G483" s="95" t="n">
        <v>4.51</v>
      </c>
      <c r="H483" s="95" t="n">
        <v>0.23</v>
      </c>
      <c r="I483" s="95" t="n">
        <v>16.01</v>
      </c>
      <c r="J483" s="96" t="n">
        <v>0.22</v>
      </c>
      <c r="K483" s="95" t="n">
        <f>I483*(1+J483)</f>
        <v>19.532200000000003</v>
      </c>
      <c r="L483" s="96" t="n">
        <v>0.3</v>
      </c>
      <c r="M483" s="95" t="n">
        <f>K483*(1+L483)</f>
        <v>25.391860000000005</v>
      </c>
      <c r="N483" t="str">
        <v>CAMICON · Quito</v>
      </c>
      <c r="O483" t="str">
        <v>Octubre–diciembre 2025</v>
      </c>
      <c r="P483" s="97" t="str">
        <v>REFERENCIAL QUITO · utilidad 30% provisional</v>
      </c>
      <c r="Q483" t="str">
        <v>INFRAESTRUCTURA VIAL</v>
      </c>
      <c r="R483" t="str">
        <v>bordillos prefabricado pesado 100x50x15 cm</v>
      </c>
    </row>
    <row r="484">
      <c r="A484" t="str">
        <v>CAM-0479</v>
      </c>
      <c r="B484" t="str">
        <v>OBRA CIVIL</v>
      </c>
      <c r="C484" t="str">
        <v>20.0211</v>
      </c>
      <c r="D484" s="97" t="str">
        <v>CAPA DE RODADURA ASFALTO E= 5CM</v>
      </c>
      <c r="E484" t="str">
        <v>m²</v>
      </c>
      <c r="F484" s="95" t="n">
        <v>10.29</v>
      </c>
      <c r="G484" s="95" t="n">
        <v>0.24</v>
      </c>
      <c r="H484" s="95" t="n">
        <v>1.31</v>
      </c>
      <c r="I484" s="95" t="n">
        <v>11.84</v>
      </c>
      <c r="J484" s="96" t="n">
        <v>0.22</v>
      </c>
      <c r="K484" s="95" t="n">
        <f>I484*(1+J484)</f>
        <v>14.444799999999999</v>
      </c>
      <c r="L484" s="96" t="n">
        <v>0.3</v>
      </c>
      <c r="M484" s="95" t="n">
        <f>K484*(1+L484)</f>
        <v>18.77824</v>
      </c>
      <c r="N484" t="str">
        <v>CAMICON · Quito</v>
      </c>
      <c r="O484" t="str">
        <v>Octubre–diciembre 2025</v>
      </c>
      <c r="P484" s="97" t="str">
        <v>REFERENCIAL QUITO · utilidad 30% provisional</v>
      </c>
      <c r="Q484" t="str">
        <v>INFRAESTRUCTURA VIAL</v>
      </c>
      <c r="R484" t="str">
        <v>capa de rodadura asfalto e= 5cm</v>
      </c>
    </row>
    <row r="485">
      <c r="A485" t="str">
        <v>CAM-0480</v>
      </c>
      <c r="B485" t="str">
        <v>OBRA CIVIL</v>
      </c>
      <c r="C485" t="str">
        <v>20.0212</v>
      </c>
      <c r="D485" s="97" t="str">
        <v>CAPA DE RODADURA ASFALTO E= 7.5CM</v>
      </c>
      <c r="E485" t="str">
        <v>m²</v>
      </c>
      <c r="F485" s="95" t="n">
        <v>10.73</v>
      </c>
      <c r="G485" s="95" t="n">
        <v>0.26</v>
      </c>
      <c r="H485" s="95" t="n">
        <v>1.4</v>
      </c>
      <c r="I485" s="95" t="n">
        <v>12.39</v>
      </c>
      <c r="J485" s="96" t="n">
        <v>0.22</v>
      </c>
      <c r="K485" s="95" t="n">
        <f>I485*(1+J485)</f>
        <v>15.1158</v>
      </c>
      <c r="L485" s="96" t="n">
        <v>0.3</v>
      </c>
      <c r="M485" s="95" t="n">
        <f>K485*(1+L485)</f>
        <v>19.65054</v>
      </c>
      <c r="N485" t="str">
        <v>CAMICON · Quito</v>
      </c>
      <c r="O485" t="str">
        <v>Octubre–diciembre 2025</v>
      </c>
      <c r="P485" s="97" t="str">
        <v>REFERENCIAL QUITO · utilidad 30% provisional</v>
      </c>
      <c r="Q485" t="str">
        <v>INFRAESTRUCTURA VIAL</v>
      </c>
      <c r="R485" t="str">
        <v>capa de rodadura asfalto e= 7.5cm</v>
      </c>
    </row>
    <row r="486">
      <c r="A486" t="str">
        <v>CAM-0481</v>
      </c>
      <c r="B486" t="str">
        <v>OBRA CIVIL</v>
      </c>
      <c r="C486" t="str">
        <v>20.0213</v>
      </c>
      <c r="D486" s="97" t="str">
        <v>CONFORMACIÓN DE TALUD A MANO</v>
      </c>
      <c r="E486" t="str">
        <v>m²</v>
      </c>
      <c r="F486" s="95" t="n">
        <v>0</v>
      </c>
      <c r="G486" s="95" t="n">
        <v>4.79</v>
      </c>
      <c r="H486" s="95" t="n">
        <v>0.77</v>
      </c>
      <c r="I486" s="95" t="n">
        <v>5.56</v>
      </c>
      <c r="J486" s="96" t="n">
        <v>0.22</v>
      </c>
      <c r="K486" s="95" t="n">
        <f>I486*(1+J486)</f>
        <v>6.783199999999999</v>
      </c>
      <c r="L486" s="96" t="n">
        <v>0.3</v>
      </c>
      <c r="M486" s="95" t="n">
        <f>K486*(1+L486)</f>
        <v>8.818159999999999</v>
      </c>
      <c r="N486" t="str">
        <v>CAMICON · Quito</v>
      </c>
      <c r="O486" t="str">
        <v>Octubre–diciembre 2025</v>
      </c>
      <c r="P486" s="97" t="str">
        <v>REFERENCIAL QUITO · utilidad 30% provisional</v>
      </c>
      <c r="Q486" t="str">
        <v>INFRAESTRUCTURA VIAL</v>
      </c>
      <c r="R486" t="str">
        <v>conformacion de talud a mano</v>
      </c>
    </row>
    <row r="487">
      <c r="A487" t="str">
        <v>CAM-0482</v>
      </c>
      <c r="B487" t="str">
        <v>OBRA CIVIL</v>
      </c>
      <c r="C487" t="str">
        <v>20.0214</v>
      </c>
      <c r="D487" s="97" t="str">
        <v>CONFORMACIÓN Y COMPACTACIÓN DE SUBRASANTE (EQUIPO PESADO)</v>
      </c>
      <c r="E487" t="str">
        <v>m²</v>
      </c>
      <c r="F487" s="95" t="n">
        <v>0.01</v>
      </c>
      <c r="G487" s="95" t="n">
        <v>0.24</v>
      </c>
      <c r="H487" s="95" t="n">
        <v>1.48</v>
      </c>
      <c r="I487" s="95" t="n">
        <v>1.73</v>
      </c>
      <c r="J487" s="96" t="n">
        <v>0.22</v>
      </c>
      <c r="K487" s="95" t="n">
        <f>I487*(1+J487)</f>
        <v>2.1106</v>
      </c>
      <c r="L487" s="96" t="n">
        <v>0.3</v>
      </c>
      <c r="M487" s="95" t="n">
        <f>K487*(1+L487)</f>
        <v>2.7437799999999997</v>
      </c>
      <c r="N487" t="str">
        <v>CAMICON · Quito</v>
      </c>
      <c r="O487" t="str">
        <v>Octubre–diciembre 2025</v>
      </c>
      <c r="P487" s="97" t="str">
        <v>REFERENCIAL QUITO · utilidad 30% provisional</v>
      </c>
      <c r="Q487" t="str">
        <v>INFRAESTRUCTURA VIAL</v>
      </c>
      <c r="R487" t="str">
        <v>conformacion y compactacion de subrasante (equipo pesado)</v>
      </c>
    </row>
    <row r="488">
      <c r="A488" t="str">
        <v>CAM-0483</v>
      </c>
      <c r="B488" t="str">
        <v>OBRA CIVIL</v>
      </c>
      <c r="C488" t="str">
        <v>20.0215</v>
      </c>
      <c r="D488" s="97" t="str">
        <v>CORTE NETO CON EQUIPO: MOTONIVELADORA</v>
      </c>
      <c r="E488" t="str">
        <v>m³</v>
      </c>
      <c r="F488" s="95" t="n">
        <v>0</v>
      </c>
      <c r="G488" s="95" t="n">
        <v>0.28</v>
      </c>
      <c r="H488" s="95" t="n">
        <v>1.92</v>
      </c>
      <c r="I488" s="95" t="n">
        <v>2.2</v>
      </c>
      <c r="J488" s="96" t="n">
        <v>0.22</v>
      </c>
      <c r="K488" s="95" t="n">
        <f>I488*(1+J488)</f>
        <v>2.684</v>
      </c>
      <c r="L488" s="96" t="n">
        <v>0.3</v>
      </c>
      <c r="M488" s="95" t="n">
        <f>K488*(1+L488)</f>
        <v>3.4892000000000003</v>
      </c>
      <c r="N488" t="str">
        <v>CAMICON · Quito</v>
      </c>
      <c r="O488" t="str">
        <v>Octubre–diciembre 2025</v>
      </c>
      <c r="P488" s="97" t="str">
        <v>REFERENCIAL QUITO · utilidad 30% provisional</v>
      </c>
      <c r="Q488" t="str">
        <v>INFRAESTRUCTURA VIAL</v>
      </c>
      <c r="R488" t="str">
        <v>corte neto con equipo: motoniveladora</v>
      </c>
    </row>
    <row r="489">
      <c r="A489" t="str">
        <v>CAM-0484</v>
      </c>
      <c r="B489" t="str">
        <v>OBRA CIVIL</v>
      </c>
      <c r="C489" t="str">
        <v>20.0216</v>
      </c>
      <c r="D489" s="97" t="str">
        <v>CUNETA TRIANGULAR REVESTIDA DE HORMIGÓN 100X33X100 CM E=0.15 CM</v>
      </c>
      <c r="E489" t="str">
        <v>mtl</v>
      </c>
      <c r="F489" s="95" t="n">
        <v>32.46</v>
      </c>
      <c r="G489" s="95" t="n">
        <v>5.24</v>
      </c>
      <c r="H489" s="95" t="n">
        <v>1.66</v>
      </c>
      <c r="I489" s="95" t="n">
        <v>39.36</v>
      </c>
      <c r="J489" s="96" t="n">
        <v>0.22</v>
      </c>
      <c r="K489" s="95" t="n">
        <f>I489*(1+J489)</f>
        <v>48.0192</v>
      </c>
      <c r="L489" s="96" t="n">
        <v>0.3</v>
      </c>
      <c r="M489" s="95" t="n">
        <f>K489*(1+L489)</f>
        <v>62.42496</v>
      </c>
      <c r="N489" t="str">
        <v>CAMICON · Quito</v>
      </c>
      <c r="O489" t="str">
        <v>Octubre–diciembre 2025</v>
      </c>
      <c r="P489" s="97" t="str">
        <v>REFERENCIAL QUITO · utilidad 30% provisional</v>
      </c>
      <c r="Q489" t="str">
        <v>INFRAESTRUCTURA VIAL</v>
      </c>
      <c r="R489" t="str">
        <v>cuneta triangular revestida de hormigon 100x33x100 cm e=0.15 cm</v>
      </c>
    </row>
    <row r="490">
      <c r="A490" t="str">
        <v>CAM-0485</v>
      </c>
      <c r="B490" t="str">
        <v>OBRA CIVIL</v>
      </c>
      <c r="C490" t="str">
        <v>20.0217</v>
      </c>
      <c r="D490" s="97" t="str">
        <v>CUNETA TRIANGULAR REVESTIDA DE HORMIGÓN 70X35X35 CM E=0.10 CM</v>
      </c>
      <c r="E490" t="str">
        <v>mtl</v>
      </c>
      <c r="F490" s="95" t="n">
        <v>11.49</v>
      </c>
      <c r="G490" s="95" t="n">
        <v>9.64</v>
      </c>
      <c r="H490" s="95" t="n">
        <v>1.79</v>
      </c>
      <c r="I490" s="95" t="n">
        <v>22.92</v>
      </c>
      <c r="J490" s="96" t="n">
        <v>0.22</v>
      </c>
      <c r="K490" s="95" t="n">
        <f>I490*(1+J490)</f>
        <v>27.962400000000002</v>
      </c>
      <c r="L490" s="96" t="n">
        <v>0.3</v>
      </c>
      <c r="M490" s="95" t="n">
        <f>K490*(1+L490)</f>
        <v>36.35112</v>
      </c>
      <c r="N490" t="str">
        <v>CAMICON · Quito</v>
      </c>
      <c r="O490" t="str">
        <v>Octubre–diciembre 2025</v>
      </c>
      <c r="P490" s="97" t="str">
        <v>REFERENCIAL QUITO · utilidad 30% provisional</v>
      </c>
      <c r="Q490" t="str">
        <v>INFRAESTRUCTURA VIAL</v>
      </c>
      <c r="R490" t="str">
        <v>cuneta triangular revestida de hormigon 70x35x35 cm e=0.10 cm</v>
      </c>
    </row>
    <row r="491">
      <c r="A491" t="str">
        <v>CAM-0486</v>
      </c>
      <c r="B491" t="str">
        <v>OBRA CIVIL</v>
      </c>
      <c r="C491" t="str">
        <v>20.0218</v>
      </c>
      <c r="D491" s="97" t="str">
        <v>FRESADO DE PAVIMENTO ASFÁLTICO</v>
      </c>
      <c r="E491" t="str">
        <v>m²</v>
      </c>
      <c r="F491" s="95" t="n">
        <v>0</v>
      </c>
      <c r="G491" s="95" t="n">
        <v>0.78</v>
      </c>
      <c r="H491" s="95" t="n">
        <v>4.74</v>
      </c>
      <c r="I491" s="95" t="n">
        <v>5.52</v>
      </c>
      <c r="J491" s="96" t="n">
        <v>0.22</v>
      </c>
      <c r="K491" s="95" t="n">
        <f>I491*(1+J491)</f>
        <v>6.734399999999999</v>
      </c>
      <c r="L491" s="96" t="n">
        <v>0.3</v>
      </c>
      <c r="M491" s="95" t="n">
        <f>K491*(1+L491)</f>
        <v>8.754719999999999</v>
      </c>
      <c r="N491" t="str">
        <v>CAMICON · Quito</v>
      </c>
      <c r="O491" t="str">
        <v>Octubre–diciembre 2025</v>
      </c>
      <c r="P491" s="97" t="str">
        <v>REFERENCIAL QUITO · utilidad 30% provisional</v>
      </c>
      <c r="Q491" t="str">
        <v>INFRAESTRUCTURA VIAL</v>
      </c>
      <c r="R491" t="str">
        <v>fresado de pavimento asfaltico</v>
      </c>
    </row>
    <row r="492">
      <c r="A492" t="str">
        <v>CAM-0487</v>
      </c>
      <c r="B492" t="str">
        <v>OBRA CIVIL</v>
      </c>
      <c r="C492" t="str">
        <v>20.0219</v>
      </c>
      <c r="D492" s="97" t="str">
        <v>IMPRIMACIÓN ASFÁLTICA CON EQUIPO: DISTRIBUIDORA DE ASFALTO, ESCOBA MECÁNICA</v>
      </c>
      <c r="E492" t="str">
        <v>m²</v>
      </c>
      <c r="F492" s="95" t="n">
        <v>1.93</v>
      </c>
      <c r="G492" s="95" t="n">
        <v>0.04</v>
      </c>
      <c r="H492" s="95" t="n">
        <v>0.14</v>
      </c>
      <c r="I492" s="95" t="n">
        <v>2.11</v>
      </c>
      <c r="J492" s="96" t="n">
        <v>0.22</v>
      </c>
      <c r="K492" s="95" t="n">
        <f>I492*(1+J492)</f>
        <v>2.5742</v>
      </c>
      <c r="L492" s="96" t="n">
        <v>0.3</v>
      </c>
      <c r="M492" s="95" t="n">
        <f>K492*(1+L492)</f>
        <v>3.34646</v>
      </c>
      <c r="N492" t="str">
        <v>CAMICON · Quito</v>
      </c>
      <c r="O492" t="str">
        <v>Octubre–diciembre 2025</v>
      </c>
      <c r="P492" s="97" t="str">
        <v>REFERENCIAL QUITO · utilidad 30% provisional</v>
      </c>
      <c r="Q492" t="str">
        <v>INFRAESTRUCTURA VIAL</v>
      </c>
      <c r="R492" t="str">
        <v>imprimacion asfaltica con equipo: distribuidora de asfalto, escoba mecanica</v>
      </c>
    </row>
    <row r="493">
      <c r="A493" t="str">
        <v>CAM-0488</v>
      </c>
      <c r="B493" t="str">
        <v>ROTULACIÓN Y SEÑALÉTICA</v>
      </c>
      <c r="C493" t="str">
        <v>20.0220</v>
      </c>
      <c r="D493" s="97" t="str">
        <v>SEÑALIZACION HORIZONTAL CON PINTURA ACRILICA Y MICROESFERAS</v>
      </c>
      <c r="E493" t="str">
        <v>m²</v>
      </c>
      <c r="F493" s="95" t="n">
        <v>6.09</v>
      </c>
      <c r="G493" s="95" t="n">
        <v>1.66</v>
      </c>
      <c r="H493" s="95" t="n">
        <v>1.33</v>
      </c>
      <c r="I493" s="95" t="n">
        <v>9.08</v>
      </c>
      <c r="J493" s="96" t="n">
        <v>0.22</v>
      </c>
      <c r="K493" s="95" t="n">
        <f>I493*(1+J493)</f>
        <v>11.0776</v>
      </c>
      <c r="L493" s="96" t="n">
        <v>0.3</v>
      </c>
      <c r="M493" s="95" t="n">
        <f>K493*(1+L493)</f>
        <v>14.40088</v>
      </c>
      <c r="N493" t="str">
        <v>CAMICON · Quito</v>
      </c>
      <c r="O493" t="str">
        <v>Octubre–diciembre 2025</v>
      </c>
      <c r="P493" s="97" t="str">
        <v>REFERENCIAL QUITO · utilidad 30% provisional</v>
      </c>
      <c r="Q493" t="str">
        <v>INFRAESTRUCTURA VIAL</v>
      </c>
      <c r="R493" t="str">
        <v>senalizacion horizontal con pintura acrilica y microesferas</v>
      </c>
    </row>
    <row r="494">
      <c r="A494" t="str">
        <v>CAM-0489</v>
      </c>
      <c r="B494" t="str">
        <v>ROTULACIÓN Y SEÑALÉTICA</v>
      </c>
      <c r="C494" t="str">
        <v>20.0221</v>
      </c>
      <c r="D494" s="97" t="str">
        <v>SEÑALIZACIÓN LINEAL DE CALZADA CON RAYA BLANCA</v>
      </c>
      <c r="E494" t="str">
        <v>mtl</v>
      </c>
      <c r="F494" s="95" t="n">
        <v>0.27</v>
      </c>
      <c r="G494" s="95" t="n">
        <v>0.1</v>
      </c>
      <c r="H494" s="95" t="n">
        <v>0.07</v>
      </c>
      <c r="I494" s="95" t="n">
        <v>0.44</v>
      </c>
      <c r="J494" s="96" t="n">
        <v>0.22</v>
      </c>
      <c r="K494" s="95" t="n">
        <f>I494*(1+J494)</f>
        <v>0.5367999999999999</v>
      </c>
      <c r="L494" s="96" t="n">
        <v>0.3</v>
      </c>
      <c r="M494" s="95" t="n">
        <f>K494*(1+L494)</f>
        <v>0.6978399999999999</v>
      </c>
      <c r="N494" t="str">
        <v>CAMICON · Quito</v>
      </c>
      <c r="O494" t="str">
        <v>Octubre–diciembre 2025</v>
      </c>
      <c r="P494" s="97" t="str">
        <v>REFERENCIAL QUITO · utilidad 30% provisional</v>
      </c>
      <c r="Q494" t="str">
        <v>INFRAESTRUCTURA VIAL</v>
      </c>
      <c r="R494" t="str">
        <v>senalizacion lineal de calzada con raya blanca</v>
      </c>
    </row>
    <row r="495">
      <c r="A495" t="str">
        <v>CAM-0490</v>
      </c>
      <c r="B495" t="str">
        <v>OBRA CIVIL</v>
      </c>
      <c r="C495" t="str">
        <v>20.0222</v>
      </c>
      <c r="D495" s="97" t="str">
        <v>SUB-BASE CLASE 2: CAMIÓN CISTERNA, MOTONIVELADORA Y RODILLO</v>
      </c>
      <c r="E495" t="str">
        <v>m³</v>
      </c>
      <c r="F495" s="95" t="n">
        <v>8.67</v>
      </c>
      <c r="G495" s="95" t="n">
        <v>0.67</v>
      </c>
      <c r="H495" s="95" t="n">
        <v>3.61</v>
      </c>
      <c r="I495" s="95" t="n">
        <v>12.95</v>
      </c>
      <c r="J495" s="96" t="n">
        <v>0.22</v>
      </c>
      <c r="K495" s="95" t="n">
        <f>I495*(1+J495)</f>
        <v>15.799</v>
      </c>
      <c r="L495" s="96" t="n">
        <v>0.3</v>
      </c>
      <c r="M495" s="95" t="n">
        <f>K495*(1+L495)</f>
        <v>20.5387</v>
      </c>
      <c r="N495" t="str">
        <v>CAMICON · Quito</v>
      </c>
      <c r="O495" t="str">
        <v>Octubre–diciembre 2025</v>
      </c>
      <c r="P495" s="97" t="str">
        <v>REFERENCIAL QUITO · utilidad 30% provisional</v>
      </c>
      <c r="Q495" t="str">
        <v>INFRAESTRUCTURA VIAL</v>
      </c>
      <c r="R495" t="str">
        <v>sub-base clase 2: camion cisterna, motoniveladora y rodillo</v>
      </c>
    </row>
    <row r="496">
      <c r="A496" t="str">
        <v>CAM-0491</v>
      </c>
      <c r="B496" t="str">
        <v>OBRA CIVIL</v>
      </c>
      <c r="C496" t="str">
        <v>20.0223</v>
      </c>
      <c r="D496" s="97" t="str">
        <v>SUB-BASE CLASE 3: CAMIÓN CISTERNA, MOTONIVELADORA Y RODILLO</v>
      </c>
      <c r="E496" t="str">
        <v>m³</v>
      </c>
      <c r="F496" s="95" t="n">
        <v>14.77</v>
      </c>
      <c r="G496" s="95" t="n">
        <v>0.67</v>
      </c>
      <c r="H496" s="95" t="n">
        <v>3.61</v>
      </c>
      <c r="I496" s="95" t="n">
        <v>19.05</v>
      </c>
      <c r="J496" s="96" t="n">
        <v>0.22</v>
      </c>
      <c r="K496" s="95" t="n">
        <f>I496*(1+J496)</f>
        <v>23.241</v>
      </c>
      <c r="L496" s="96" t="n">
        <v>0.3</v>
      </c>
      <c r="M496" s="95" t="n">
        <f>K496*(1+L496)</f>
        <v>30.2133</v>
      </c>
      <c r="N496" t="str">
        <v>CAMICON · Quito</v>
      </c>
      <c r="O496" t="str">
        <v>Octubre–diciembre 2025</v>
      </c>
      <c r="P496" s="97" t="str">
        <v>REFERENCIAL QUITO · utilidad 30% provisional</v>
      </c>
      <c r="Q496" t="str">
        <v>INFRAESTRUCTURA VIAL</v>
      </c>
      <c r="R496" t="str">
        <v>sub-base clase 3: camion cisterna, motoniveladora y rodillo</v>
      </c>
    </row>
    <row r="497">
      <c r="A497" t="str">
        <v>CAM-0492</v>
      </c>
      <c r="B497" t="str">
        <v>OBRA CIVIL</v>
      </c>
      <c r="C497" t="str">
        <v>20.0224</v>
      </c>
      <c r="D497" s="97" t="str">
        <v>SUBDRENES TUBO PERFORADO ANILLADO PVC D:200MM</v>
      </c>
      <c r="E497" t="str">
        <v>mtl</v>
      </c>
      <c r="F497" s="95" t="n">
        <v>20.41</v>
      </c>
      <c r="G497" s="95" t="n">
        <v>4.93</v>
      </c>
      <c r="H497" s="95" t="n">
        <v>0.79</v>
      </c>
      <c r="I497" s="95" t="n">
        <v>26.13</v>
      </c>
      <c r="J497" s="96" t="n">
        <v>0.22</v>
      </c>
      <c r="K497" s="95" t="n">
        <f>I497*(1+J497)</f>
        <v>31.8786</v>
      </c>
      <c r="L497" s="96" t="n">
        <v>0.3</v>
      </c>
      <c r="M497" s="95" t="n">
        <f>K497*(1+L497)</f>
        <v>41.44218</v>
      </c>
      <c r="N497" t="str">
        <v>CAMICON · Quito</v>
      </c>
      <c r="O497" t="str">
        <v>Octubre–diciembre 2025</v>
      </c>
      <c r="P497" s="97" t="str">
        <v>REFERENCIAL QUITO · utilidad 30% provisional</v>
      </c>
      <c r="Q497" t="str">
        <v>INFRAESTRUCTURA VIAL</v>
      </c>
      <c r="R497" t="str">
        <v>subdrenes tubo perforado anillado pvc d:200mm</v>
      </c>
    </row>
    <row r="498">
      <c r="A498" t="str">
        <v>CAM-0493</v>
      </c>
      <c r="B498" t="str">
        <v>VARIOS, TRANSPORTE Y MONTAJE</v>
      </c>
      <c r="C498" t="str">
        <v>20.0225</v>
      </c>
      <c r="D498" s="97" t="str">
        <v>SUMINISTRO, TRANSPORTE Y COLOCACIÓN DE CARPETA DE HORMIGÓN ASFÁLTICO EN CALIENTE (E=10 CM)</v>
      </c>
      <c r="E498" t="str">
        <v>m²</v>
      </c>
      <c r="F498" s="95" t="n">
        <v>9.24</v>
      </c>
      <c r="G498" s="95" t="n">
        <v>0.57</v>
      </c>
      <c r="H498" s="95" t="n">
        <v>3.19</v>
      </c>
      <c r="I498" s="95" t="n">
        <v>13</v>
      </c>
      <c r="J498" s="96" t="n">
        <v>0.22</v>
      </c>
      <c r="K498" s="95" t="n">
        <f>I498*(1+J498)</f>
        <v>15.86</v>
      </c>
      <c r="L498" s="96" t="n">
        <v>0.3</v>
      </c>
      <c r="M498" s="95" t="n">
        <f>K498*(1+L498)</f>
        <v>20.618</v>
      </c>
      <c r="N498" t="str">
        <v>CAMICON · Quito</v>
      </c>
      <c r="O498" t="str">
        <v>Octubre–diciembre 2025</v>
      </c>
      <c r="P498" s="97" t="str">
        <v>REFERENCIAL QUITO · utilidad 30% provisional</v>
      </c>
      <c r="Q498" t="str">
        <v>INFRAESTRUCTURA VIAL</v>
      </c>
      <c r="R498" t="str">
        <v>suministro, transporte y colocacion de carpeta de hormigon asfaltico en caliente (e=10 cm)</v>
      </c>
    </row>
    <row r="499">
      <c r="A499" t="str">
        <v>CAM-0494</v>
      </c>
      <c r="B499" t="str">
        <v>OBRA CIVIL</v>
      </c>
      <c r="C499" t="str">
        <v>20.0301</v>
      </c>
      <c r="D499" s="97" t="str">
        <v>AGUA PARA CONTROL DE POLVO</v>
      </c>
      <c r="E499" t="str">
        <v>m²</v>
      </c>
      <c r="F499" s="95" t="n">
        <v>0.01</v>
      </c>
      <c r="G499" s="95" t="n">
        <v>1.73</v>
      </c>
      <c r="H499" s="95" t="n">
        <v>4.61</v>
      </c>
      <c r="I499" s="95" t="n">
        <v>6.35</v>
      </c>
      <c r="J499" s="96" t="n">
        <v>0.22</v>
      </c>
      <c r="K499" s="95" t="n">
        <f>I499*(1+J499)</f>
        <v>7.746999999999999</v>
      </c>
      <c r="L499" s="96" t="n">
        <v>0.3</v>
      </c>
      <c r="M499" s="95" t="n">
        <f>K499*(1+L499)</f>
        <v>10.0711</v>
      </c>
      <c r="N499" t="str">
        <v>CAMICON · Quito</v>
      </c>
      <c r="O499" t="str">
        <v>Octubre–diciembre 2025</v>
      </c>
      <c r="P499" s="97" t="str">
        <v>REFERENCIAL QUITO · utilidad 30% provisional</v>
      </c>
      <c r="Q499" t="str">
        <v>INFRAESTRUCTURA VIAL</v>
      </c>
      <c r="R499" t="str">
        <v>agua para control de polvo</v>
      </c>
    </row>
    <row r="500">
      <c r="A500" t="str">
        <v>CAM-0495</v>
      </c>
      <c r="B500" t="str">
        <v>OBRA CIVIL</v>
      </c>
      <c r="C500" t="str">
        <v>20.0302</v>
      </c>
      <c r="D500" s="97" t="str">
        <v>CINTA PLÁSTICA PELIGRO</v>
      </c>
      <c r="E500" t="str">
        <v>mtl</v>
      </c>
      <c r="F500" s="95" t="n">
        <v>0.06</v>
      </c>
      <c r="G500" s="95" t="n">
        <v>0.04</v>
      </c>
      <c r="H500" s="95" t="n">
        <v>0.002</v>
      </c>
      <c r="I500" s="95" t="n">
        <v>0.1</v>
      </c>
      <c r="J500" s="96" t="n">
        <v>0.22</v>
      </c>
      <c r="K500" s="95" t="n">
        <f>I500*(1+J500)</f>
        <v>0.122</v>
      </c>
      <c r="L500" s="96" t="n">
        <v>0.3</v>
      </c>
      <c r="M500" s="95" t="n">
        <f>K500*(1+L500)</f>
        <v>0.1586</v>
      </c>
      <c r="N500" t="str">
        <v>CAMICON · Quito</v>
      </c>
      <c r="O500" t="str">
        <v>Octubre–diciembre 2025</v>
      </c>
      <c r="P500" s="97" t="str">
        <v>REFERENCIAL QUITO · utilidad 30% provisional</v>
      </c>
      <c r="Q500" t="str">
        <v>INFRAESTRUCTURA VIAL</v>
      </c>
      <c r="R500" t="str">
        <v>cinta plastica peligro</v>
      </c>
    </row>
    <row r="501">
      <c r="A501" t="str">
        <v>CAM-0496</v>
      </c>
      <c r="B501" t="str">
        <v>OBRA CIVIL</v>
      </c>
      <c r="C501" t="str">
        <v>20.0304</v>
      </c>
      <c r="D501" s="97" t="str">
        <v>EMPEDRADO E=12CM.</v>
      </c>
      <c r="E501" t="str">
        <v>m²</v>
      </c>
      <c r="F501" s="95" t="n">
        <v>1.82</v>
      </c>
      <c r="G501" s="95" t="n">
        <v>5.28</v>
      </c>
      <c r="H501" s="95" t="n">
        <v>2.44</v>
      </c>
      <c r="I501" s="95" t="n">
        <v>9.54</v>
      </c>
      <c r="J501" s="96" t="n">
        <v>0.22</v>
      </c>
      <c r="K501" s="95" t="n">
        <f>I501*(1+J501)</f>
        <v>11.638799999999998</v>
      </c>
      <c r="L501" s="96" t="n">
        <v>0.3</v>
      </c>
      <c r="M501" s="95" t="n">
        <f>K501*(1+L501)</f>
        <v>15.130439999999998</v>
      </c>
      <c r="N501" t="str">
        <v>CAMICON · Quito</v>
      </c>
      <c r="O501" t="str">
        <v>Octubre–diciembre 2025</v>
      </c>
      <c r="P501" s="97" t="str">
        <v>REFERENCIAL QUITO · utilidad 30% provisional</v>
      </c>
      <c r="Q501" t="str">
        <v>INFRAESTRUCTURA VIAL</v>
      </c>
      <c r="R501" t="str">
        <v>empedrado e=12cm.</v>
      </c>
    </row>
    <row r="502">
      <c r="A502" t="str">
        <v>CAM-0497</v>
      </c>
      <c r="B502" t="str">
        <v>OBRA CIVIL</v>
      </c>
      <c r="C502" t="str">
        <v>20.0305</v>
      </c>
      <c r="D502" s="97" t="str">
        <v>LETRERO AMBIENTAL PROYECTO (0.60X1.20 M), H= 2 M</v>
      </c>
      <c r="E502" t="str">
        <v>u</v>
      </c>
      <c r="F502" s="95" t="n">
        <v>80.78</v>
      </c>
      <c r="G502" s="95" t="n">
        <v>8.94</v>
      </c>
      <c r="H502" s="95" t="n">
        <v>0.45</v>
      </c>
      <c r="I502" s="95" t="n">
        <v>90.17</v>
      </c>
      <c r="J502" s="96" t="n">
        <v>0.22</v>
      </c>
      <c r="K502" s="95" t="n">
        <f>I502*(1+J502)</f>
        <v>110.0074</v>
      </c>
      <c r="L502" s="96" t="n">
        <v>0.3</v>
      </c>
      <c r="M502" s="95" t="n">
        <f>K502*(1+L502)</f>
        <v>143.00962</v>
      </c>
      <c r="N502" t="str">
        <v>CAMICON · Quito</v>
      </c>
      <c r="O502" t="str">
        <v>Octubre–diciembre 2025</v>
      </c>
      <c r="P502" s="97" t="str">
        <v>REFERENCIAL QUITO · utilidad 30% provisional</v>
      </c>
      <c r="Q502" t="str">
        <v>INFRAESTRUCTURA VIAL</v>
      </c>
      <c r="R502" t="str">
        <v>letrero ambiental proyecto (0.60x1.20 m), h= 2 m</v>
      </c>
    </row>
    <row r="503">
      <c r="A503" t="str">
        <v>CAM-0498</v>
      </c>
      <c r="B503" t="str">
        <v>OBRA CIVIL</v>
      </c>
      <c r="C503" t="str">
        <v>20.0306</v>
      </c>
      <c r="D503" s="97" t="str">
        <v>MURO DE GAVIÓN PLASTIFICADO</v>
      </c>
      <c r="E503" t="str">
        <v>m³</v>
      </c>
      <c r="F503" s="95" t="n">
        <v>67.98</v>
      </c>
      <c r="G503" s="95" t="n">
        <v>13.81</v>
      </c>
      <c r="H503" s="95" t="n">
        <v>0.69</v>
      </c>
      <c r="I503" s="95" t="n">
        <v>82.48</v>
      </c>
      <c r="J503" s="96" t="n">
        <v>0.22</v>
      </c>
      <c r="K503" s="95" t="n">
        <f>I503*(1+J503)</f>
        <v>100.6256</v>
      </c>
      <c r="L503" s="96" t="n">
        <v>0.3</v>
      </c>
      <c r="M503" s="95" t="n">
        <f>K503*(1+L503)</f>
        <v>130.81328000000002</v>
      </c>
      <c r="N503" t="str">
        <v>CAMICON · Quito</v>
      </c>
      <c r="O503" t="str">
        <v>Octubre–diciembre 2025</v>
      </c>
      <c r="P503" s="97" t="str">
        <v>REFERENCIAL QUITO · utilidad 30% provisional</v>
      </c>
      <c r="Q503" t="str">
        <v>INFRAESTRUCTURA VIAL</v>
      </c>
      <c r="R503" t="str">
        <v>muro de gavion plastificado</v>
      </c>
    </row>
    <row r="504">
      <c r="A504" t="str">
        <v>CAM-0499</v>
      </c>
      <c r="B504" t="str">
        <v>OBRA CIVIL</v>
      </c>
      <c r="C504" t="str">
        <v>20.0307</v>
      </c>
      <c r="D504" s="97" t="str">
        <v>OBRAS DE PAISAJISMO, SUMINISTRO Y SIEMBRA DE ESPECIES ARBÓREAS</v>
      </c>
      <c r="E504" t="str">
        <v>u</v>
      </c>
      <c r="F504" s="95" t="n">
        <v>20.89</v>
      </c>
      <c r="G504" s="95" t="n">
        <v>4.51</v>
      </c>
      <c r="H504" s="95" t="n">
        <v>1.19</v>
      </c>
      <c r="I504" s="95" t="n">
        <v>26.59</v>
      </c>
      <c r="J504" s="96" t="n">
        <v>0.22</v>
      </c>
      <c r="K504" s="95" t="n">
        <f>I504*(1+J504)</f>
        <v>32.4398</v>
      </c>
      <c r="L504" s="96" t="n">
        <v>0.3</v>
      </c>
      <c r="M504" s="95" t="n">
        <f>K504*(1+L504)</f>
        <v>42.17174</v>
      </c>
      <c r="N504" t="str">
        <v>CAMICON · Quito</v>
      </c>
      <c r="O504" t="str">
        <v>Octubre–diciembre 2025</v>
      </c>
      <c r="P504" s="97" t="str">
        <v>REFERENCIAL QUITO · utilidad 30% provisional</v>
      </c>
      <c r="Q504" t="str">
        <v>INFRAESTRUCTURA VIAL</v>
      </c>
      <c r="R504" t="str">
        <v>obras de paisajismo, suministro y siembra de especies arboreas</v>
      </c>
    </row>
    <row r="505">
      <c r="A505" t="str">
        <v>CAM-0500</v>
      </c>
      <c r="B505" t="str">
        <v>OBRA CIVIL</v>
      </c>
      <c r="C505" t="str">
        <v>20.0308</v>
      </c>
      <c r="D505" s="97" t="str">
        <v>RE EMPEDRADO E=12CM</v>
      </c>
      <c r="E505" t="str">
        <v>m²</v>
      </c>
      <c r="F505" s="95" t="n">
        <v>1.77</v>
      </c>
      <c r="G505" s="95" t="n">
        <v>5.96</v>
      </c>
      <c r="H505" s="95" t="n">
        <v>2.75</v>
      </c>
      <c r="I505" s="95" t="n">
        <v>10.48</v>
      </c>
      <c r="J505" s="96" t="n">
        <v>0.22</v>
      </c>
      <c r="K505" s="95" t="n">
        <f>I505*(1+J505)</f>
        <v>12.7856</v>
      </c>
      <c r="L505" s="96" t="n">
        <v>0.3</v>
      </c>
      <c r="M505" s="95" t="n">
        <f>K505*(1+L505)</f>
        <v>16.621280000000002</v>
      </c>
      <c r="N505" t="str">
        <v>CAMICON · Quito</v>
      </c>
      <c r="O505" t="str">
        <v>Octubre–diciembre 2025</v>
      </c>
      <c r="P505" s="97" t="str">
        <v>REFERENCIAL QUITO · utilidad 30% provisional</v>
      </c>
      <c r="Q505" t="str">
        <v>INFRAESTRUCTURA VIAL</v>
      </c>
      <c r="R505" t="str">
        <v>re empedrado e=12cm</v>
      </c>
    </row>
    <row r="506">
      <c r="A506" t="str">
        <v>CAM-0501</v>
      </c>
      <c r="B506" t="str">
        <v>ILUMINACIÓN</v>
      </c>
      <c r="C506" t="str">
        <v>20.0309</v>
      </c>
      <c r="D506" s="97" t="str">
        <v>LUMINARIA DE LEDS PARA ALUMBRADO VIAL DE 150 W 4.000 K CON BARZO METÁLICO DE 1,20 M DE LONGITUD</v>
      </c>
      <c r="E506" t="str">
        <v>u</v>
      </c>
      <c r="F506" s="95" t="n">
        <v>330.72</v>
      </c>
      <c r="G506" s="95" t="n">
        <v>5.59</v>
      </c>
      <c r="H506" s="95" t="n">
        <v>5.19</v>
      </c>
      <c r="I506" s="95" t="n">
        <v>341.5</v>
      </c>
      <c r="J506" s="96" t="n">
        <v>0.22</v>
      </c>
      <c r="K506" s="95" t="n">
        <f>I506*(1+J506)</f>
        <v>416.63</v>
      </c>
      <c r="L506" s="96" t="n">
        <v>0.3</v>
      </c>
      <c r="M506" s="95" t="n">
        <f>K506*(1+L506)</f>
        <v>541.619</v>
      </c>
      <c r="N506" t="str">
        <v>CAMICON · Quito</v>
      </c>
      <c r="O506" t="str">
        <v>Octubre–diciembre 2025</v>
      </c>
      <c r="P506" s="97" t="str">
        <v>REFERENCIAL QUITO · utilidad 30% provisional</v>
      </c>
      <c r="Q506" t="str">
        <v>INFRAESTRUCTURA VIAL</v>
      </c>
      <c r="R506" t="str">
        <v>luminaria de leds para alumbrado vial de 150 w 4.000 k con barzo metalico de 1,20 m de longitud</v>
      </c>
    </row>
    <row r="507">
      <c r="A507" t="str">
        <v>CAM-0502</v>
      </c>
      <c r="B507" t="str">
        <v>ROTULACIÓN Y SEÑALÉTICA</v>
      </c>
      <c r="C507" t="str">
        <v>20.0310</v>
      </c>
      <c r="D507" s="97" t="str">
        <v>SUMINISTRO E INSTALACION DE SEÑAL VERTICAL REGULATORIA R1-1 (PARE)</v>
      </c>
      <c r="E507" t="str">
        <v>u</v>
      </c>
      <c r="F507" s="95" t="n">
        <v>105.81</v>
      </c>
      <c r="G507" s="95" t="n">
        <v>8.94</v>
      </c>
      <c r="H507" s="95" t="n">
        <v>0.45</v>
      </c>
      <c r="I507" s="95" t="n">
        <v>115.2</v>
      </c>
      <c r="J507" s="96" t="n">
        <v>0.22</v>
      </c>
      <c r="K507" s="95" t="n">
        <f>I507*(1+J507)</f>
        <v>140.544</v>
      </c>
      <c r="L507" s="96" t="n">
        <v>0.3</v>
      </c>
      <c r="M507" s="95" t="n">
        <f>K507*(1+L507)</f>
        <v>182.70720000000003</v>
      </c>
      <c r="N507" t="str">
        <v>CAMICON · Quito</v>
      </c>
      <c r="O507" t="str">
        <v>Octubre–diciembre 2025</v>
      </c>
      <c r="P507" s="97" t="str">
        <v>REFERENCIAL QUITO · utilidad 30% provisional</v>
      </c>
      <c r="Q507" t="str">
        <v>INFRAESTRUCTURA VIAL</v>
      </c>
      <c r="R507" t="str">
        <v>suministro e instalacion de senal vertical regulatoria r1-1 (pare)</v>
      </c>
    </row>
    <row r="508">
      <c r="A508" t="str">
        <v>INT-0001</v>
      </c>
      <c r="B508" t="str">
        <v>MOBILIARIO Y MÓDULOS</v>
      </c>
      <c r="C508" t="str">
        <v>FILA-7</v>
      </c>
      <c r="D508" s="97" t="str">
        <v>MODULO EXTENSOR VITAMINS</v>
      </c>
      <c r="E508" t="str">
        <v>u</v>
      </c>
      <c r="F508" s="95"/>
      <c r="G508" s="95"/>
      <c r="H508" s="95"/>
      <c r="I508" s="95" t="n">
        <v>439</v>
      </c>
      <c r="J508" s="96" t="n">
        <v>0</v>
      </c>
      <c r="K508" s="95" t="n">
        <f>I508*(1+J508)</f>
        <v>439</v>
      </c>
      <c r="L508" s="96" t="n">
        <v>0.4</v>
      </c>
      <c r="M508" s="95" t="n">
        <f>K508*(1+L508)</f>
        <v>614.5999999999999</v>
      </c>
      <c r="N508" t="str">
        <v>Base interna retail</v>
      </c>
      <c r="O508" t="str">
        <v>Sin fecha indicada</v>
      </c>
      <c r="P508" s="97" t="str">
        <v>BASE INTERNA · fecha y alcance por verificar</v>
      </c>
      <c r="Q508" t="str">
        <v>SISTEMAS DE EXHIBICIÓN</v>
      </c>
      <c r="R508" t="str">
        <v>modulo extensor vitamins</v>
      </c>
    </row>
    <row r="509">
      <c r="A509" t="str">
        <v>INT-0002</v>
      </c>
      <c r="B509" t="str">
        <v>MOBILIARIO Y MÓDULOS</v>
      </c>
      <c r="C509" t="str">
        <v>FILA-8</v>
      </c>
      <c r="D509" s="97" t="str">
        <v>MODULO EXTENSOR ESTANDAR</v>
      </c>
      <c r="E509" t="str">
        <v>u</v>
      </c>
      <c r="F509" s="95"/>
      <c r="G509" s="95"/>
      <c r="H509" s="95"/>
      <c r="I509" s="95" t="n">
        <v>391</v>
      </c>
      <c r="J509" s="96" t="n">
        <v>0</v>
      </c>
      <c r="K509" s="95" t="n">
        <f>I509*(1+J509)</f>
        <v>391</v>
      </c>
      <c r="L509" s="96" t="n">
        <v>0.4</v>
      </c>
      <c r="M509" s="95" t="n">
        <f>K509*(1+L509)</f>
        <v>547.4</v>
      </c>
      <c r="N509" t="str">
        <v>Base interna retail</v>
      </c>
      <c r="O509" t="str">
        <v>Sin fecha indicada</v>
      </c>
      <c r="P509" s="97" t="str">
        <v>BASE INTERNA · fecha y alcance por verificar</v>
      </c>
      <c r="Q509" t="str">
        <v>SISTEMAS DE EXHIBICIÓN</v>
      </c>
      <c r="R509" t="str">
        <v>modulo extensor estandar</v>
      </c>
    </row>
    <row r="510">
      <c r="A510" t="str">
        <v>INT-0003</v>
      </c>
      <c r="B510" t="str">
        <v>MOBILIARIO Y MÓDULOS</v>
      </c>
      <c r="C510" t="str">
        <v>FILA-9</v>
      </c>
      <c r="D510" s="97" t="str">
        <v>MODULO MALLA CON REPISAS METALICAS</v>
      </c>
      <c r="E510" t="str">
        <v>u</v>
      </c>
      <c r="F510" s="95"/>
      <c r="G510" s="95"/>
      <c r="H510" s="95"/>
      <c r="I510" s="95" t="n">
        <v>458</v>
      </c>
      <c r="J510" s="96" t="n">
        <v>0</v>
      </c>
      <c r="K510" s="95" t="n">
        <f>I510*(1+J510)</f>
        <v>458</v>
      </c>
      <c r="L510" s="96" t="n">
        <v>0.4</v>
      </c>
      <c r="M510" s="95" t="n">
        <f>K510*(1+L510)</f>
        <v>641.1999999999999</v>
      </c>
      <c r="N510" t="str">
        <v>Base interna retail</v>
      </c>
      <c r="O510" t="str">
        <v>Sin fecha indicada</v>
      </c>
      <c r="P510" s="97" t="str">
        <v>BASE INTERNA · fecha y alcance por verificar</v>
      </c>
      <c r="Q510" t="str">
        <v>SISTEMAS DE EXHIBICIÓN</v>
      </c>
      <c r="R510" t="str">
        <v>modulo malla con repisas metalicas</v>
      </c>
    </row>
    <row r="511">
      <c r="A511" t="str">
        <v>INT-0004</v>
      </c>
      <c r="B511" t="str">
        <v>MOBILIARIO Y MÓDULOS</v>
      </c>
      <c r="C511" t="str">
        <v>FILA-10</v>
      </c>
      <c r="D511" s="97" t="str">
        <v>EXHIBIDOR BEAUTY</v>
      </c>
      <c r="E511" t="str">
        <v>u</v>
      </c>
      <c r="F511" s="95"/>
      <c r="G511" s="95"/>
      <c r="H511" s="95"/>
      <c r="I511" s="95" t="n">
        <v>554</v>
      </c>
      <c r="J511" s="96" t="n">
        <v>0</v>
      </c>
      <c r="K511" s="95" t="n">
        <f>I511*(1+J511)</f>
        <v>554</v>
      </c>
      <c r="L511" s="96" t="n">
        <v>0.4</v>
      </c>
      <c r="M511" s="95" t="n">
        <f>K511*(1+L511)</f>
        <v>775.5999999999999</v>
      </c>
      <c r="N511" t="str">
        <v>Base interna retail</v>
      </c>
      <c r="O511" t="str">
        <v>Sin fecha indicada</v>
      </c>
      <c r="P511" s="97" t="str">
        <v>BASE INTERNA · fecha y alcance por verificar</v>
      </c>
      <c r="Q511" t="str">
        <v>SISTEMAS DE EXHIBICIÓN</v>
      </c>
      <c r="R511" t="str">
        <v>exhibidor beauty</v>
      </c>
    </row>
    <row r="512">
      <c r="A512" t="str">
        <v>INT-0005</v>
      </c>
      <c r="B512" t="str">
        <v>MOBILIARIO Y MÓDULOS</v>
      </c>
      <c r="C512" t="str">
        <v>FILA-13</v>
      </c>
      <c r="D512" s="97" t="str">
        <v>GÓNDOLAS METAL- OSB - ACRILICO</v>
      </c>
      <c r="E512" t="str">
        <v>u</v>
      </c>
      <c r="F512" s="95"/>
      <c r="G512" s="95"/>
      <c r="H512" s="95"/>
      <c r="I512" s="95" t="n">
        <v>477</v>
      </c>
      <c r="J512" s="96" t="n">
        <v>0</v>
      </c>
      <c r="K512" s="95" t="n">
        <f>I512*(1+J512)</f>
        <v>477</v>
      </c>
      <c r="L512" s="96" t="n">
        <v>0.5</v>
      </c>
      <c r="M512" s="95" t="n">
        <f>K512*(1+L512)</f>
        <v>715.5</v>
      </c>
      <c r="N512" t="str">
        <v>Base interna retail</v>
      </c>
      <c r="O512" t="str">
        <v>Sin fecha indicada</v>
      </c>
      <c r="P512" s="97" t="str">
        <v>BASE INTERNA · fecha y alcance por verificar</v>
      </c>
      <c r="Q512" t="str">
        <v>CARPINTERIA ESPECIAL</v>
      </c>
      <c r="R512" t="str">
        <v>gondolas metal- osb - acrilico</v>
      </c>
    </row>
    <row r="513">
      <c r="A513" t="str">
        <v>INT-0006</v>
      </c>
      <c r="B513" t="str">
        <v>MOBILIARIO Y MÓDULOS</v>
      </c>
      <c r="C513" t="str">
        <v>FILA-14</v>
      </c>
      <c r="D513" s="97" t="str">
        <v>MESA CENTRAL EXHIBIDOR COMPACTO 80X80X60CM</v>
      </c>
      <c r="E513" t="str">
        <v>u</v>
      </c>
      <c r="F513" s="95"/>
      <c r="G513" s="95"/>
      <c r="H513" s="95"/>
      <c r="I513" s="95" t="n">
        <v>103</v>
      </c>
      <c r="J513" s="96" t="n">
        <v>0</v>
      </c>
      <c r="K513" s="95" t="n">
        <f>I513*(1+J513)</f>
        <v>103</v>
      </c>
      <c r="L513" s="96" t="n">
        <v>0.8</v>
      </c>
      <c r="M513" s="95" t="n">
        <f>K513*(1+L513)</f>
        <v>185.4</v>
      </c>
      <c r="N513" t="str">
        <v>Base interna retail</v>
      </c>
      <c r="O513" t="str">
        <v>Sin fecha indicada</v>
      </c>
      <c r="P513" s="97" t="str">
        <v>BASE INTERNA · fecha y alcance por verificar</v>
      </c>
      <c r="Q513" t="str">
        <v>CARPINTERIA ESPECIAL</v>
      </c>
      <c r="R513" t="str">
        <v>mesa central exhibidor compacto 80x80x60cm</v>
      </c>
    </row>
    <row r="514">
      <c r="A514" t="str">
        <v>INT-0007</v>
      </c>
      <c r="B514" t="str">
        <v>MOBILIARIO Y MÓDULOS</v>
      </c>
      <c r="C514" t="str">
        <v>FILA-15</v>
      </c>
      <c r="D514" s="97" t="str">
        <v>MUEBLE PUNTO PAGO</v>
      </c>
      <c r="E514" t="str">
        <v>u</v>
      </c>
      <c r="F514" s="95"/>
      <c r="G514" s="95"/>
      <c r="H514" s="95"/>
      <c r="I514" s="95" t="n">
        <v>480</v>
      </c>
      <c r="J514" s="96" t="n">
        <v>0</v>
      </c>
      <c r="K514" s="95" t="n">
        <f>I514*(1+J514)</f>
        <v>480</v>
      </c>
      <c r="L514" s="96" t="n">
        <v>0.3</v>
      </c>
      <c r="M514" s="95" t="n">
        <f>K514*(1+L514)</f>
        <v>624</v>
      </c>
      <c r="N514" t="str">
        <v>Base interna retail</v>
      </c>
      <c r="O514" t="str">
        <v>Sin fecha indicada</v>
      </c>
      <c r="P514" s="97" t="str">
        <v>BASE INTERNA · fecha y alcance por verificar</v>
      </c>
      <c r="Q514" t="str">
        <v>CARPINTERIA ESPECIAL</v>
      </c>
      <c r="R514" t="str">
        <v>mueble punto pago</v>
      </c>
    </row>
    <row r="515">
      <c r="A515" t="str">
        <v>INT-0008</v>
      </c>
      <c r="B515" t="str">
        <v>MOBILIARIO Y MÓDULOS</v>
      </c>
      <c r="C515" t="str">
        <v>FILA-16</v>
      </c>
      <c r="D515" s="97" t="str">
        <v>MUEBLE DE PRODUCTOS DE IMPULSO EN PUNTO PAGO</v>
      </c>
      <c r="E515" t="str">
        <v>u</v>
      </c>
      <c r="F515" s="95"/>
      <c r="G515" s="95"/>
      <c r="H515" s="95"/>
      <c r="I515" s="95" t="n">
        <v>208</v>
      </c>
      <c r="J515" s="96" t="n">
        <v>0</v>
      </c>
      <c r="K515" s="95" t="n">
        <f>I515*(1+J515)</f>
        <v>208</v>
      </c>
      <c r="L515" s="96" t="n">
        <v>0.4</v>
      </c>
      <c r="M515" s="95" t="n">
        <f>K515*(1+L515)</f>
        <v>291.2</v>
      </c>
      <c r="N515" t="str">
        <v>Base interna retail</v>
      </c>
      <c r="O515" t="str">
        <v>Sin fecha indicada</v>
      </c>
      <c r="P515" s="97" t="str">
        <v>BASE INTERNA · fecha y alcance por verificar</v>
      </c>
      <c r="Q515" t="str">
        <v>CARPINTERIA ESPECIAL</v>
      </c>
      <c r="R515" t="str">
        <v>mueble de productos de impulso en punto pago</v>
      </c>
    </row>
    <row r="516">
      <c r="A516" t="str">
        <v>INT-0009</v>
      </c>
      <c r="B516" t="str">
        <v>MOBILIARIO Y MÓDULOS</v>
      </c>
      <c r="C516" t="str">
        <v>FILA-17</v>
      </c>
      <c r="D516" s="97" t="str">
        <v>PLANTAS ARTIFICIALES PARA TECHO</v>
      </c>
      <c r="E516" t="str">
        <v>u</v>
      </c>
      <c r="F516" s="95"/>
      <c r="G516" s="95"/>
      <c r="H516" s="95"/>
      <c r="I516" s="95" t="n">
        <v>35</v>
      </c>
      <c r="J516" s="96" t="n">
        <v>0</v>
      </c>
      <c r="K516" s="95" t="n">
        <f>I516*(1+J516)</f>
        <v>35</v>
      </c>
      <c r="L516" s="96" t="n">
        <v>0.3</v>
      </c>
      <c r="M516" s="95" t="n">
        <f>K516*(1+L516)</f>
        <v>45.5</v>
      </c>
      <c r="N516" t="str">
        <v>Base interna retail</v>
      </c>
      <c r="O516" t="str">
        <v>Sin fecha indicada</v>
      </c>
      <c r="P516" s="97" t="str">
        <v>BASE INTERNA · fecha y alcance por verificar</v>
      </c>
      <c r="Q516" t="str">
        <v>CARPINTERIA ESPECIAL</v>
      </c>
      <c r="R516" t="str">
        <v>plantas artificiales para techo</v>
      </c>
    </row>
    <row r="517">
      <c r="A517" t="str">
        <v>INT-0010</v>
      </c>
      <c r="B517" t="str">
        <v>MOBILIARIO Y MÓDULOS</v>
      </c>
      <c r="C517" t="str">
        <v>FILA-18</v>
      </c>
      <c r="D517" s="97" t="str">
        <v>TÓTEM VITRINA PRINCIPAL EN METAL. ENMCARCADO PARA ESCAPARATE</v>
      </c>
      <c r="E517" t="str">
        <v>u</v>
      </c>
      <c r="F517" s="95"/>
      <c r="G517" s="95"/>
      <c r="H517" s="95"/>
      <c r="I517" s="95" t="n">
        <v>363</v>
      </c>
      <c r="J517" s="96" t="n">
        <v>0</v>
      </c>
      <c r="K517" s="95" t="n">
        <f>I517*(1+J517)</f>
        <v>363</v>
      </c>
      <c r="L517" s="96" t="n">
        <v>1</v>
      </c>
      <c r="M517" s="95" t="n">
        <f>K517*(1+L517)</f>
        <v>726</v>
      </c>
      <c r="N517" t="str">
        <v>Base interna retail</v>
      </c>
      <c r="O517" t="str">
        <v>Sin fecha indicada</v>
      </c>
      <c r="P517" s="97" t="str">
        <v>BASE INTERNA · fecha y alcance por verificar</v>
      </c>
      <c r="Q517" t="str">
        <v>CARPINTERIA ESPECIAL</v>
      </c>
      <c r="R517" t="str">
        <v>totem vitrina principal en metal. enmcarcado para escaparate</v>
      </c>
    </row>
    <row r="518">
      <c r="A518" t="str">
        <v>INT-0011</v>
      </c>
      <c r="B518" t="str">
        <v>MOBILIARIO Y MÓDULOS</v>
      </c>
      <c r="C518" t="str">
        <v>FILA-19</v>
      </c>
      <c r="D518" s="97" t="str">
        <v>TÓTEM DE TV</v>
      </c>
      <c r="E518" t="str">
        <v>u</v>
      </c>
      <c r="F518" s="95"/>
      <c r="G518" s="95"/>
      <c r="H518" s="95"/>
      <c r="I518" s="95" t="n">
        <v>280</v>
      </c>
      <c r="J518" s="96" t="n">
        <v>0</v>
      </c>
      <c r="K518" s="95" t="n">
        <f>I518*(1+J518)</f>
        <v>280</v>
      </c>
      <c r="L518" s="96" t="n">
        <v>0.4</v>
      </c>
      <c r="M518" s="95" t="n">
        <f>K518*(1+L518)</f>
        <v>392</v>
      </c>
      <c r="N518" t="str">
        <v>Base interna retail</v>
      </c>
      <c r="O518" t="str">
        <v>Sin fecha indicada</v>
      </c>
      <c r="P518" s="97" t="str">
        <v>BASE INTERNA · fecha y alcance por verificar</v>
      </c>
      <c r="Q518" t="str">
        <v>CARPINTERIA ESPECIAL</v>
      </c>
      <c r="R518" t="str">
        <v>totem de tv</v>
      </c>
    </row>
    <row r="519">
      <c r="A519" t="str">
        <v>INT-0012</v>
      </c>
      <c r="B519" t="str">
        <v>MOBILIARIO Y MÓDULOS</v>
      </c>
      <c r="C519" t="str">
        <v>FILA-20</v>
      </c>
      <c r="D519" s="97" t="str">
        <v>PUERTA DE BAÑO</v>
      </c>
      <c r="E519" t="str">
        <v>u</v>
      </c>
      <c r="F519" s="95"/>
      <c r="G519" s="95"/>
      <c r="H519" s="95"/>
      <c r="I519" s="95" t="n">
        <v>220</v>
      </c>
      <c r="J519" s="96" t="n">
        <v>0</v>
      </c>
      <c r="K519" s="95" t="n">
        <f>I519*(1+J519)</f>
        <v>220</v>
      </c>
      <c r="L519" s="96" t="n">
        <v>0.3</v>
      </c>
      <c r="M519" s="95" t="n">
        <f>K519*(1+L519)</f>
        <v>286</v>
      </c>
      <c r="N519" t="str">
        <v>Base interna retail</v>
      </c>
      <c r="O519" t="str">
        <v>Sin fecha indicada</v>
      </c>
      <c r="P519" s="97" t="str">
        <v>BASE INTERNA · fecha y alcance por verificar</v>
      </c>
      <c r="Q519" t="str">
        <v>CARPINTERIA ESPECIAL</v>
      </c>
      <c r="R519" t="str">
        <v>puerta de bano</v>
      </c>
    </row>
    <row r="520">
      <c r="A520" t="str">
        <v>INT-0013</v>
      </c>
      <c r="B520" t="str">
        <v>MOBILIARIO Y MÓDULOS</v>
      </c>
      <c r="C520" t="str">
        <v>FILA-21</v>
      </c>
      <c r="D520" s="97" t="str">
        <v>PUERTA DE BODEGA</v>
      </c>
      <c r="E520" t="str">
        <v>u</v>
      </c>
      <c r="F520" s="95"/>
      <c r="G520" s="95"/>
      <c r="H520" s="95"/>
      <c r="I520" s="95" t="n">
        <v>220</v>
      </c>
      <c r="J520" s="96" t="n">
        <v>0</v>
      </c>
      <c r="K520" s="95" t="n">
        <f>I520*(1+J520)</f>
        <v>220</v>
      </c>
      <c r="L520" s="96" t="n">
        <v>0.3</v>
      </c>
      <c r="M520" s="95" t="n">
        <f>K520*(1+L520)</f>
        <v>286</v>
      </c>
      <c r="N520" t="str">
        <v>Base interna retail</v>
      </c>
      <c r="O520" t="str">
        <v>Sin fecha indicada</v>
      </c>
      <c r="P520" s="97" t="str">
        <v>BASE INTERNA · fecha y alcance por verificar</v>
      </c>
      <c r="Q520" t="str">
        <v>CARPINTERIA ESPECIAL</v>
      </c>
      <c r="R520" t="str">
        <v>puerta de bodega</v>
      </c>
    </row>
    <row r="521">
      <c r="A521" t="str">
        <v>INT-0014</v>
      </c>
      <c r="B521" t="str">
        <v>MOBILIARIO Y MÓDULOS</v>
      </c>
      <c r="C521" t="str">
        <v>FILA-22</v>
      </c>
      <c r="D521" s="97" t="str">
        <v>MUEBLES DE BODEGA TIPO RACKS</v>
      </c>
      <c r="E521" t="str">
        <v>u</v>
      </c>
      <c r="F521" s="95"/>
      <c r="G521" s="95"/>
      <c r="H521" s="95"/>
      <c r="I521" s="95" t="n">
        <v>113</v>
      </c>
      <c r="J521" s="96" t="n">
        <v>0</v>
      </c>
      <c r="K521" s="95" t="n">
        <f>I521*(1+J521)</f>
        <v>113</v>
      </c>
      <c r="L521" s="96" t="n">
        <v>0.3</v>
      </c>
      <c r="M521" s="95" t="n">
        <f>K521*(1+L521)</f>
        <v>146.9</v>
      </c>
      <c r="N521" t="str">
        <v>Base interna retail</v>
      </c>
      <c r="O521" t="str">
        <v>Sin fecha indicada</v>
      </c>
      <c r="P521" s="97" t="str">
        <v>BASE INTERNA · fecha y alcance por verificar</v>
      </c>
      <c r="Q521" t="str">
        <v>CARPINTERIA ESPECIAL</v>
      </c>
      <c r="R521" t="str">
        <v>muebles de bodega tipo racks</v>
      </c>
    </row>
    <row r="522">
      <c r="A522" t="str">
        <v>INT-0015</v>
      </c>
      <c r="B522" t="str">
        <v>MOBILIARIO Y MÓDULOS</v>
      </c>
      <c r="C522" t="str">
        <v>FILA-23</v>
      </c>
      <c r="D522" s="97" t="str">
        <v>MALLAS PARA TECHO EN VARIILA PINTADA CON ELECTROESTATICA. INCLUYE HERRAJES</v>
      </c>
      <c r="E522" t="str">
        <v>u</v>
      </c>
      <c r="F522" s="95"/>
      <c r="G522" s="95"/>
      <c r="H522" s="95"/>
      <c r="I522" s="95" t="n">
        <v>74</v>
      </c>
      <c r="J522" s="96" t="n">
        <v>0</v>
      </c>
      <c r="K522" s="95" t="n">
        <f>I522*(1+J522)</f>
        <v>74</v>
      </c>
      <c r="L522" s="96" t="n">
        <v>0.3</v>
      </c>
      <c r="M522" s="95" t="n">
        <f>K522*(1+L522)</f>
        <v>96.2</v>
      </c>
      <c r="N522" t="str">
        <v>Base interna retail</v>
      </c>
      <c r="O522" t="str">
        <v>Sin fecha indicada</v>
      </c>
      <c r="P522" s="97" t="str">
        <v>BASE INTERNA · fecha y alcance por verificar</v>
      </c>
      <c r="Q522" t="str">
        <v>CARPINTERIA ESPECIAL</v>
      </c>
      <c r="R522" t="str">
        <v>mallas para techo en variila pintada con electroestatica. incluye herrajes</v>
      </c>
    </row>
    <row r="523">
      <c r="A523" t="str">
        <v>INT-0016</v>
      </c>
      <c r="B523" t="str">
        <v>MOBILIARIO Y MÓDULOS</v>
      </c>
      <c r="C523" t="str">
        <v>FILA-24</v>
      </c>
      <c r="D523" s="97" t="str">
        <v>ESTIBAJE</v>
      </c>
      <c r="E523" t="str">
        <v>gl</v>
      </c>
      <c r="F523" s="95"/>
      <c r="G523" s="95"/>
      <c r="H523" s="95"/>
      <c r="I523" s="95" t="n">
        <v>80</v>
      </c>
      <c r="J523" s="96" t="n">
        <v>0</v>
      </c>
      <c r="K523" s="95" t="n">
        <f>I523*(1+J523)</f>
        <v>80</v>
      </c>
      <c r="L523" s="96" t="n">
        <v>0.3</v>
      </c>
      <c r="M523" s="95" t="n">
        <f>K523*(1+L523)</f>
        <v>104</v>
      </c>
      <c r="N523" t="str">
        <v>Base interna retail</v>
      </c>
      <c r="O523" t="str">
        <v>Sin fecha indicada</v>
      </c>
      <c r="P523" s="97" t="str">
        <v>BASE INTERNA · fecha y alcance por verificar</v>
      </c>
      <c r="Q523" t="str">
        <v>CARPINTERIA ESPECIAL</v>
      </c>
      <c r="R523" t="str">
        <v>estibaje</v>
      </c>
    </row>
    <row r="524">
      <c r="A524" t="str">
        <v>INT-0017</v>
      </c>
      <c r="B524" t="str">
        <v>MOBILIARIO Y MÓDULOS</v>
      </c>
      <c r="C524" t="str">
        <v>FILA-25</v>
      </c>
      <c r="D524" s="97" t="str">
        <v>MONTAJE DE MOBILIARIO AREA COMERCIAL</v>
      </c>
      <c r="E524" t="str">
        <v>u</v>
      </c>
      <c r="F524" s="95"/>
      <c r="G524" s="95"/>
      <c r="H524" s="95"/>
      <c r="I524" s="95" t="n">
        <v>800</v>
      </c>
      <c r="J524" s="96" t="n">
        <v>0</v>
      </c>
      <c r="K524" s="95" t="n">
        <f>I524*(1+J524)</f>
        <v>800</v>
      </c>
      <c r="L524" s="96" t="n">
        <v>0.3</v>
      </c>
      <c r="M524" s="95" t="n">
        <f>K524*(1+L524)</f>
        <v>1040</v>
      </c>
      <c r="N524" t="str">
        <v>Base interna retail</v>
      </c>
      <c r="O524" t="str">
        <v>Sin fecha indicada</v>
      </c>
      <c r="P524" s="97" t="str">
        <v>BASE INTERNA · fecha y alcance por verificar</v>
      </c>
      <c r="Q524" t="str">
        <v>CARPINTERIA ESPECIAL</v>
      </c>
      <c r="R524" t="str">
        <v>montaje de mobiliario area comercial</v>
      </c>
    </row>
    <row r="525">
      <c r="A525" t="str">
        <v>INT-0018</v>
      </c>
      <c r="B525" t="str">
        <v>MOBILIARIO Y MÓDULOS</v>
      </c>
      <c r="C525" t="str">
        <v>FILA-26</v>
      </c>
      <c r="D525" s="97" t="str">
        <v>VIATICOS OBREROS</v>
      </c>
      <c r="E525" t="str">
        <v>gl</v>
      </c>
      <c r="F525" s="95"/>
      <c r="G525" s="95"/>
      <c r="H525" s="95"/>
      <c r="I525" s="95" t="n">
        <v>800</v>
      </c>
      <c r="J525" s="96" t="n">
        <v>0</v>
      </c>
      <c r="K525" s="95" t="n">
        <f>I525*(1+J525)</f>
        <v>800</v>
      </c>
      <c r="L525" s="96" t="n">
        <v>0.1</v>
      </c>
      <c r="M525" s="95" t="n">
        <f>K525*(1+L525)</f>
        <v>880.0000000000001</v>
      </c>
      <c r="N525" t="str">
        <v>Base interna retail</v>
      </c>
      <c r="O525" t="str">
        <v>Sin fecha indicada</v>
      </c>
      <c r="P525" s="97" t="str">
        <v>BASE INTERNA · fecha y alcance por verificar</v>
      </c>
      <c r="Q525" t="str">
        <v>CARPINTERIA ESPECIAL</v>
      </c>
      <c r="R525" t="str">
        <v>viaticos obreros</v>
      </c>
    </row>
    <row r="526">
      <c r="A526" t="str">
        <v>INT-0019</v>
      </c>
      <c r="B526" t="str">
        <v>MOBILIARIO Y MÓDULOS</v>
      </c>
      <c r="C526" t="str">
        <v>FILA-27</v>
      </c>
      <c r="D526" s="97" t="str">
        <v>MUEBLE BAJO PARA ALMACENAJE EN CONSULTORIO</v>
      </c>
      <c r="E526" t="str">
        <v>u</v>
      </c>
      <c r="F526" s="95"/>
      <c r="G526" s="95"/>
      <c r="H526" s="95"/>
      <c r="I526" s="95" t="n">
        <v>186</v>
      </c>
      <c r="J526" s="96" t="n">
        <v>0</v>
      </c>
      <c r="K526" s="95" t="n">
        <f>I526*(1+J526)</f>
        <v>186</v>
      </c>
      <c r="L526" s="96" t="n">
        <v>0.4</v>
      </c>
      <c r="M526" s="95" t="n">
        <f>K526*(1+L526)</f>
        <v>260.4</v>
      </c>
      <c r="N526" t="str">
        <v>Base interna retail</v>
      </c>
      <c r="O526" t="str">
        <v>Sin fecha indicada</v>
      </c>
      <c r="P526" s="97" t="str">
        <v>BASE INTERNA · fecha y alcance por verificar</v>
      </c>
      <c r="Q526" t="str">
        <v>CARPINTERIA ESPECIAL</v>
      </c>
      <c r="R526" t="str">
        <v>mueble bajo para almacenaje en consultorio</v>
      </c>
    </row>
    <row r="527">
      <c r="A527" t="str">
        <v>INT-0020</v>
      </c>
      <c r="B527" t="str">
        <v>MOBILIARIO Y MÓDULOS</v>
      </c>
      <c r="C527" t="str">
        <v>FILA-28</v>
      </c>
      <c r="D527" s="97" t="str">
        <v>VITRINA DE EXHIBICION EN COLUMNA INTERNA DE CONSULTORIO</v>
      </c>
      <c r="E527" t="str">
        <v>u</v>
      </c>
      <c r="F527" s="95"/>
      <c r="G527" s="95"/>
      <c r="H527" s="95"/>
      <c r="I527" s="95" t="n">
        <v>589</v>
      </c>
      <c r="J527" s="96" t="n">
        <v>0</v>
      </c>
      <c r="K527" s="95" t="n">
        <f>I527*(1+J527)</f>
        <v>589</v>
      </c>
      <c r="L527" s="96" t="n">
        <v>0.4</v>
      </c>
      <c r="M527" s="95" t="n">
        <f>K527*(1+L527)</f>
        <v>824.5999999999999</v>
      </c>
      <c r="N527" t="str">
        <v>Base interna retail</v>
      </c>
      <c r="O527" t="str">
        <v>Sin fecha indicada</v>
      </c>
      <c r="P527" s="97" t="str">
        <v>BASE INTERNA · fecha y alcance por verificar</v>
      </c>
      <c r="Q527" t="str">
        <v>CARPINTERIA ESPECIAL</v>
      </c>
      <c r="R527" t="str">
        <v>vitrina de exhibicion en columna interna de consultorio</v>
      </c>
    </row>
    <row r="528">
      <c r="A528" t="str">
        <v>INT-0021</v>
      </c>
      <c r="B528" t="str">
        <v>MOBILIARIO Y MÓDULOS</v>
      </c>
      <c r="C528" t="str">
        <v>FILA-29</v>
      </c>
      <c r="D528" s="97" t="str">
        <v>SILLON INDIVIDUAL</v>
      </c>
      <c r="E528" t="str">
        <v>u</v>
      </c>
      <c r="F528" s="95"/>
      <c r="G528" s="95"/>
      <c r="H528" s="95"/>
      <c r="I528" s="95" t="n">
        <v>120</v>
      </c>
      <c r="J528" s="96" t="n">
        <v>0</v>
      </c>
      <c r="K528" s="95" t="n">
        <f>I528*(1+J528)</f>
        <v>120</v>
      </c>
      <c r="L528" s="96" t="n">
        <v>0.4</v>
      </c>
      <c r="M528" s="95" t="n">
        <f>K528*(1+L528)</f>
        <v>168</v>
      </c>
      <c r="N528" t="str">
        <v>Base interna retail</v>
      </c>
      <c r="O528" t="str">
        <v>Sin fecha indicada</v>
      </c>
      <c r="P528" s="97" t="str">
        <v>BASE INTERNA · fecha y alcance por verificar</v>
      </c>
      <c r="Q528" t="str">
        <v>CARPINTERIA ESPECIAL</v>
      </c>
      <c r="R528" t="str">
        <v>sillon individual</v>
      </c>
    </row>
    <row r="529">
      <c r="A529" t="str">
        <v>INT-0022</v>
      </c>
      <c r="B529" t="str">
        <v>MOBILIARIO Y MÓDULOS</v>
      </c>
      <c r="C529" t="str">
        <v>FILA-30</v>
      </c>
      <c r="D529" s="97" t="str">
        <v>SILLON DOBLE</v>
      </c>
      <c r="E529" t="str">
        <v>u</v>
      </c>
      <c r="F529" s="95"/>
      <c r="G529" s="95"/>
      <c r="H529" s="95"/>
      <c r="I529" s="95" t="n">
        <v>180</v>
      </c>
      <c r="J529" s="96" t="n">
        <v>0</v>
      </c>
      <c r="K529" s="95" t="n">
        <f>I529*(1+J529)</f>
        <v>180</v>
      </c>
      <c r="L529" s="96" t="n">
        <v>0.4</v>
      </c>
      <c r="M529" s="95" t="n">
        <f>K529*(1+L529)</f>
        <v>251.99999999999997</v>
      </c>
      <c r="N529" t="str">
        <v>Base interna retail</v>
      </c>
      <c r="O529" t="str">
        <v>Sin fecha indicada</v>
      </c>
      <c r="P529" s="97" t="str">
        <v>BASE INTERNA · fecha y alcance por verificar</v>
      </c>
      <c r="Q529" t="str">
        <v>CARPINTERIA ESPECIAL</v>
      </c>
      <c r="R529" t="str">
        <v>sillon doble</v>
      </c>
    </row>
    <row r="530">
      <c r="A530" t="str">
        <v>INT-0023</v>
      </c>
      <c r="B530" t="str">
        <v>MOBILIARIO Y MÓDULOS</v>
      </c>
      <c r="C530" t="str">
        <v>FILA-31</v>
      </c>
      <c r="D530" s="97" t="str">
        <v>MESA DE CENTRO</v>
      </c>
      <c r="E530" t="str">
        <v>u</v>
      </c>
      <c r="F530" s="95"/>
      <c r="G530" s="95"/>
      <c r="H530" s="95"/>
      <c r="I530" s="95" t="n">
        <v>80</v>
      </c>
      <c r="J530" s="96" t="n">
        <v>0</v>
      </c>
      <c r="K530" s="95" t="n">
        <f>I530*(1+J530)</f>
        <v>80</v>
      </c>
      <c r="L530" s="96" t="n">
        <v>0.4</v>
      </c>
      <c r="M530" s="95" t="n">
        <f>K530*(1+L530)</f>
        <v>112</v>
      </c>
      <c r="N530" t="str">
        <v>Base interna retail</v>
      </c>
      <c r="O530" t="str">
        <v>Sin fecha indicada</v>
      </c>
      <c r="P530" s="97" t="str">
        <v>BASE INTERNA · fecha y alcance por verificar</v>
      </c>
      <c r="Q530" t="str">
        <v>CARPINTERIA ESPECIAL</v>
      </c>
      <c r="R530" t="str">
        <v>mesa de centro</v>
      </c>
    </row>
    <row r="531">
      <c r="A531" t="str">
        <v>INT-0024</v>
      </c>
      <c r="B531" t="str">
        <v>MOBILIARIO Y MÓDULOS</v>
      </c>
      <c r="C531" t="str">
        <v>FILA-32</v>
      </c>
      <c r="D531" s="97" t="str">
        <v>ESCRITORIO CONSULTORIO</v>
      </c>
      <c r="E531" t="str">
        <v>u</v>
      </c>
      <c r="F531" s="95"/>
      <c r="G531" s="95"/>
      <c r="H531" s="95"/>
      <c r="I531" s="95" t="n">
        <v>180</v>
      </c>
      <c r="J531" s="96" t="n">
        <v>0</v>
      </c>
      <c r="K531" s="95" t="n">
        <f>I531*(1+J531)</f>
        <v>180</v>
      </c>
      <c r="L531" s="96" t="n">
        <v>0.4</v>
      </c>
      <c r="M531" s="95" t="n">
        <f>K531*(1+L531)</f>
        <v>251.99999999999997</v>
      </c>
      <c r="N531" t="str">
        <v>Base interna retail</v>
      </c>
      <c r="O531" t="str">
        <v>Sin fecha indicada</v>
      </c>
      <c r="P531" s="97" t="str">
        <v>BASE INTERNA · fecha y alcance por verificar</v>
      </c>
      <c r="Q531" t="str">
        <v>CARPINTERIA ESPECIAL</v>
      </c>
      <c r="R531" t="str">
        <v>escritorio consultorio</v>
      </c>
    </row>
    <row r="532">
      <c r="A532" t="str">
        <v>INT-0025</v>
      </c>
      <c r="B532" t="str">
        <v>MOBILIARIO Y MÓDULOS</v>
      </c>
      <c r="C532" t="str">
        <v>FILA-33</v>
      </c>
      <c r="D532" s="97" t="str">
        <v>SILLA TIPO SECRETARIA</v>
      </c>
      <c r="E532" t="str">
        <v>u</v>
      </c>
      <c r="F532" s="95"/>
      <c r="G532" s="95"/>
      <c r="H532" s="95"/>
      <c r="I532" s="95" t="n">
        <v>120</v>
      </c>
      <c r="J532" s="96" t="n">
        <v>0</v>
      </c>
      <c r="K532" s="95" t="n">
        <f>I532*(1+J532)</f>
        <v>120</v>
      </c>
      <c r="L532" s="96" t="n">
        <v>0.4</v>
      </c>
      <c r="M532" s="95" t="n">
        <f>K532*(1+L532)</f>
        <v>168</v>
      </c>
      <c r="N532" t="str">
        <v>Base interna retail</v>
      </c>
      <c r="O532" t="str">
        <v>Sin fecha indicada</v>
      </c>
      <c r="P532" s="97" t="str">
        <v>BASE INTERNA · fecha y alcance por verificar</v>
      </c>
      <c r="Q532" t="str">
        <v>CARPINTERIA ESPECIAL</v>
      </c>
      <c r="R532" t="str">
        <v>silla tipo secretaria</v>
      </c>
    </row>
    <row r="533">
      <c r="A533" t="str">
        <v>INT-0026</v>
      </c>
      <c r="B533" t="str">
        <v>MOBILIARIO Y MÓDULOS</v>
      </c>
      <c r="C533" t="str">
        <v>FILA-34</v>
      </c>
      <c r="D533" s="97" t="str">
        <v>ESTANTERIA PARA VITRINA DE COLSUTORIO Y FACHADA</v>
      </c>
      <c r="E533" t="str">
        <v>u</v>
      </c>
      <c r="F533" s="95"/>
      <c r="G533" s="95"/>
      <c r="H533" s="95"/>
      <c r="I533" s="95" t="n">
        <v>589</v>
      </c>
      <c r="J533" s="96" t="n">
        <v>0</v>
      </c>
      <c r="K533" s="95" t="n">
        <f>I533*(1+J533)</f>
        <v>589</v>
      </c>
      <c r="L533" s="96" t="n">
        <v>0.4</v>
      </c>
      <c r="M533" s="95" t="n">
        <f>K533*(1+L533)</f>
        <v>824.5999999999999</v>
      </c>
      <c r="N533" t="str">
        <v>Base interna retail</v>
      </c>
      <c r="O533" t="str">
        <v>Sin fecha indicada</v>
      </c>
      <c r="P533" s="97" t="str">
        <v>BASE INTERNA · fecha y alcance por verificar</v>
      </c>
      <c r="Q533" t="str">
        <v>CARPINTERIA ESPECIAL</v>
      </c>
      <c r="R533" t="str">
        <v>estanteria para vitrina de colsutorio y fachada</v>
      </c>
    </row>
    <row r="534">
      <c r="A534" t="str">
        <v>INT-0027</v>
      </c>
      <c r="B534" t="str">
        <v>MOBILIARIO Y MÓDULOS</v>
      </c>
      <c r="C534" t="str">
        <v>FILA-35</v>
      </c>
      <c r="D534" s="97" t="str">
        <v>MESA TRIO PARA PACAS</v>
      </c>
      <c r="E534" t="str">
        <v>u</v>
      </c>
      <c r="F534" s="95"/>
      <c r="G534" s="95"/>
      <c r="H534" s="95"/>
      <c r="I534" s="95" t="n">
        <v>354</v>
      </c>
      <c r="J534" s="96" t="n">
        <v>0</v>
      </c>
      <c r="K534" s="95" t="n">
        <f>I534*(1+J534)</f>
        <v>354</v>
      </c>
      <c r="L534" s="96" t="n">
        <v>0.4</v>
      </c>
      <c r="M534" s="95" t="n">
        <f>K534*(1+L534)</f>
        <v>495.59999999999997</v>
      </c>
      <c r="N534" t="str">
        <v>Base interna retail</v>
      </c>
      <c r="O534" t="str">
        <v>Sin fecha indicada</v>
      </c>
      <c r="P534" s="97" t="str">
        <v>BASE INTERNA · fecha y alcance por verificar</v>
      </c>
      <c r="Q534" t="str">
        <v>CARPINTERIA ESPECIAL</v>
      </c>
      <c r="R534" t="str">
        <v>mesa trio para pacas</v>
      </c>
    </row>
    <row r="535">
      <c r="A535" t="str">
        <v>INT-0028</v>
      </c>
      <c r="B535" t="str">
        <v>MOBILIARIO Y MÓDULOS</v>
      </c>
      <c r="C535" t="str">
        <v>FILA-36</v>
      </c>
      <c r="D535" s="97" t="str">
        <v>EXIHIBIDOR BEAUTY PEQUEÑO</v>
      </c>
      <c r="E535" t="str">
        <v>u</v>
      </c>
      <c r="F535" s="95"/>
      <c r="G535" s="95"/>
      <c r="H535" s="95"/>
      <c r="I535" s="95" t="n">
        <v>232</v>
      </c>
      <c r="J535" s="96" t="n">
        <v>0</v>
      </c>
      <c r="K535" s="95" t="n">
        <f>I535*(1+J535)</f>
        <v>232</v>
      </c>
      <c r="L535" s="96" t="n">
        <v>0</v>
      </c>
      <c r="M535" s="95" t="n">
        <f>K535*(1+L535)</f>
        <v>232</v>
      </c>
      <c r="N535" t="str">
        <v>Base interna retail</v>
      </c>
      <c r="O535" t="str">
        <v>Sin fecha indicada</v>
      </c>
      <c r="P535" s="97" t="str">
        <v>BASE INTERNA · fecha y alcance por verificar</v>
      </c>
      <c r="Q535" t="str">
        <v>CARPINTERIA ESPECIAL</v>
      </c>
      <c r="R535" t="str">
        <v>exihibidor beauty pequeno</v>
      </c>
    </row>
    <row r="536">
      <c r="A536" t="str">
        <v>INT-0029</v>
      </c>
      <c r="B536" t="str">
        <v>MOBILIARIO Y MÓDULOS</v>
      </c>
      <c r="C536" t="str">
        <v>FILA-37</v>
      </c>
      <c r="D536" s="97" t="str">
        <v>EXHIBIDOR TIPO MALLA PEQUEÑO</v>
      </c>
      <c r="E536" t="str">
        <v>u</v>
      </c>
      <c r="F536" s="95"/>
      <c r="G536" s="95"/>
      <c r="H536" s="95"/>
      <c r="I536" s="95" t="n">
        <v>232</v>
      </c>
      <c r="J536" s="96" t="n">
        <v>0</v>
      </c>
      <c r="K536" s="95" t="n">
        <f>I536*(1+J536)</f>
        <v>232</v>
      </c>
      <c r="L536" s="96" t="n">
        <v>0</v>
      </c>
      <c r="M536" s="95" t="n">
        <f>K536*(1+L536)</f>
        <v>232</v>
      </c>
      <c r="N536" t="str">
        <v>Base interna retail</v>
      </c>
      <c r="O536" t="str">
        <v>Sin fecha indicada</v>
      </c>
      <c r="P536" s="97" t="str">
        <v>BASE INTERNA · fecha y alcance por verificar</v>
      </c>
      <c r="Q536" t="str">
        <v>CARPINTERIA ESPECIAL</v>
      </c>
      <c r="R536" t="str">
        <v>exhibidor tipo malla pequeno</v>
      </c>
    </row>
    <row r="537">
      <c r="A537" t="str">
        <v>INT-0030</v>
      </c>
      <c r="B537" t="str">
        <v>VIDRIO Y ALUMINIO</v>
      </c>
      <c r="C537" t="str">
        <v>FILA-38</v>
      </c>
      <c r="D537" s="97" t="str">
        <v>VITRINAS BAJAS DE VIDRIO</v>
      </c>
      <c r="E537" t="str">
        <v>u</v>
      </c>
      <c r="F537" s="95"/>
      <c r="G537" s="95"/>
      <c r="H537" s="95"/>
      <c r="I537" s="95" t="n">
        <v>220</v>
      </c>
      <c r="J537" s="96" t="n">
        <v>0</v>
      </c>
      <c r="K537" s="95" t="n">
        <f>I537*(1+J537)</f>
        <v>220</v>
      </c>
      <c r="L537" s="96" t="n">
        <v>0.35</v>
      </c>
      <c r="M537" s="95" t="n">
        <f>K537*(1+L537)</f>
        <v>297</v>
      </c>
      <c r="N537" t="str">
        <v>Base interna retail</v>
      </c>
      <c r="O537" t="str">
        <v>Sin fecha indicada</v>
      </c>
      <c r="P537" s="97" t="str">
        <v>BASE INTERNA · fecha y alcance por verificar</v>
      </c>
      <c r="Q537" t="str">
        <v>CARPINTERIA ESPECIAL</v>
      </c>
      <c r="R537" t="str">
        <v>vitrinas bajas de vidrio</v>
      </c>
    </row>
    <row r="538">
      <c r="A538" t="str">
        <v>INT-0031</v>
      </c>
      <c r="B538" t="str">
        <v>MOBILIARIO Y MÓDULOS</v>
      </c>
      <c r="C538" t="str">
        <v>FILA-39</v>
      </c>
      <c r="D538" s="97" t="str">
        <v>MUEBLE COUNTER PEQUEÑO</v>
      </c>
      <c r="E538" t="str">
        <v>u</v>
      </c>
      <c r="F538" s="95"/>
      <c r="G538" s="95"/>
      <c r="H538" s="95"/>
      <c r="I538" s="95" t="n">
        <v>420</v>
      </c>
      <c r="J538" s="96" t="n">
        <v>0</v>
      </c>
      <c r="K538" s="95" t="n">
        <f>I538*(1+J538)</f>
        <v>420</v>
      </c>
      <c r="L538" s="96" t="n">
        <v>0</v>
      </c>
      <c r="M538" s="95" t="n">
        <f>K538*(1+L538)</f>
        <v>420</v>
      </c>
      <c r="N538" t="str">
        <v>Base interna retail</v>
      </c>
      <c r="O538" t="str">
        <v>Sin fecha indicada</v>
      </c>
      <c r="P538" s="97" t="str">
        <v>BASE INTERNA · fecha y alcance por verificar</v>
      </c>
      <c r="Q538" t="str">
        <v>CARPINTERIA ESPECIAL</v>
      </c>
      <c r="R538" t="str">
        <v>mueble counter pequeno</v>
      </c>
    </row>
    <row r="539">
      <c r="A539" t="str">
        <v>INT-0032</v>
      </c>
      <c r="B539" t="str">
        <v>MOBILIARIO Y MÓDULOS</v>
      </c>
      <c r="C539" t="str">
        <v>FILA-40</v>
      </c>
      <c r="D539" s="97" t="str">
        <v>VIATICOS CARPINTEROS</v>
      </c>
      <c r="E539" t="str">
        <v>u</v>
      </c>
      <c r="F539" s="95"/>
      <c r="G539" s="95"/>
      <c r="H539" s="95"/>
      <c r="I539" s="95" t="n">
        <v>250</v>
      </c>
      <c r="J539" s="96" t="n">
        <v>0</v>
      </c>
      <c r="K539" s="95" t="n">
        <f>I539*(1+J539)</f>
        <v>250</v>
      </c>
      <c r="L539" s="96" t="n">
        <v>0</v>
      </c>
      <c r="M539" s="95" t="n">
        <f>K539*(1+L539)</f>
        <v>250</v>
      </c>
      <c r="N539" t="str">
        <v>Base interna retail</v>
      </c>
      <c r="O539" t="str">
        <v>Sin fecha indicada</v>
      </c>
      <c r="P539" s="97" t="str">
        <v>BASE INTERNA · fecha y alcance por verificar</v>
      </c>
      <c r="Q539" t="str">
        <v>CARPINTERIA ESPECIAL</v>
      </c>
      <c r="R539" t="str">
        <v>viaticos carpinteros</v>
      </c>
    </row>
    <row r="540">
      <c r="A540" t="str">
        <v>INT-0033</v>
      </c>
      <c r="B540" t="str">
        <v>ACABADOS Y GYPSUM</v>
      </c>
      <c r="C540" t="str">
        <v>FILA-41</v>
      </c>
      <c r="D540" s="97" t="str">
        <v>EXHIBIDOR TV 300X127,5X66CM ENMARCADO 5PISOS COLGADOR</v>
      </c>
      <c r="E540" t="str">
        <v>u</v>
      </c>
      <c r="F540" s="95"/>
      <c r="G540" s="95"/>
      <c r="H540" s="95"/>
      <c r="I540" s="95" t="n">
        <v>260</v>
      </c>
      <c r="J540" s="96" t="n">
        <v>0</v>
      </c>
      <c r="K540" s="95" t="n">
        <f>I540*(1+J540)</f>
        <v>260</v>
      </c>
      <c r="L540" s="96" t="n">
        <v>0.4</v>
      </c>
      <c r="M540" s="95" t="n">
        <f>K540*(1+L540)</f>
        <v>364</v>
      </c>
      <c r="N540" t="str">
        <v>Base interna retail</v>
      </c>
      <c r="O540" t="str">
        <v>Sin fecha indicada</v>
      </c>
      <c r="P540" s="97" t="str">
        <v>BASE INTERNA · fecha y alcance por verificar</v>
      </c>
      <c r="Q540" t="str">
        <v>CARPINTERIA ESPECIAL</v>
      </c>
      <c r="R540" t="str">
        <v>exhibidor tv 300x127,5x66cm enmarcado 5pisos colgador</v>
      </c>
    </row>
    <row r="541">
      <c r="A541" t="str">
        <v>INT-0034</v>
      </c>
      <c r="B541" t="str">
        <v>MOBILIARIO Y MÓDULOS</v>
      </c>
      <c r="C541" t="str">
        <v>FILA-42</v>
      </c>
      <c r="D541" s="97" t="str">
        <v>MUEBLE BAJO DE COCINA</v>
      </c>
      <c r="E541" t="str">
        <v>mtl</v>
      </c>
      <c r="F541" s="95"/>
      <c r="G541" s="95"/>
      <c r="H541" s="95"/>
      <c r="I541" s="95" t="n">
        <v>145</v>
      </c>
      <c r="J541" s="96" t="n">
        <v>0</v>
      </c>
      <c r="K541" s="95" t="n">
        <f>I541*(1+J541)</f>
        <v>145</v>
      </c>
      <c r="L541" s="96" t="n">
        <v>0.3</v>
      </c>
      <c r="M541" s="95" t="n">
        <f>K541*(1+L541)</f>
        <v>188.5</v>
      </c>
      <c r="N541" t="str">
        <v>Base interna retail</v>
      </c>
      <c r="O541" t="str">
        <v>Sin fecha indicada</v>
      </c>
      <c r="P541" s="97" t="str">
        <v>BASE INTERNA · fecha y alcance por verificar · utilidad 30% provisional</v>
      </c>
      <c r="Q541" t="str">
        <v>CARPINTERIA ESPECIAL</v>
      </c>
      <c r="R541" t="str">
        <v>mueble bajo de cocina</v>
      </c>
    </row>
    <row r="542">
      <c r="A542" t="str">
        <v>INT-0035</v>
      </c>
      <c r="B542" t="str">
        <v>MOBILIARIO Y MÓDULOS</v>
      </c>
      <c r="C542" t="str">
        <v>FILA-44</v>
      </c>
      <c r="D542" s="97" t="str">
        <v>Closets</v>
      </c>
      <c r="E542" t="str">
        <v>m²</v>
      </c>
      <c r="F542" s="95"/>
      <c r="G542" s="95"/>
      <c r="H542" s="95"/>
      <c r="I542" s="95" t="n">
        <v>170</v>
      </c>
      <c r="J542" s="96" t="n">
        <v>0</v>
      </c>
      <c r="K542" s="95" t="n">
        <f>I542*(1+J542)</f>
        <v>170</v>
      </c>
      <c r="L542" s="96" t="n">
        <v>0.3</v>
      </c>
      <c r="M542" s="95" t="n">
        <f>K542*(1+L542)</f>
        <v>221</v>
      </c>
      <c r="N542" t="str">
        <v>Base interna retail</v>
      </c>
      <c r="O542" t="str">
        <v>Sin fecha indicada</v>
      </c>
      <c r="P542" s="97" t="str">
        <v>BASE INTERNA · fecha y alcance por verificar</v>
      </c>
      <c r="Q542" t="str">
        <v>MUEBLE ALTO DE COCINA</v>
      </c>
      <c r="R542" t="str">
        <v>closets</v>
      </c>
    </row>
    <row r="543">
      <c r="A543" t="str">
        <v>INT-0036</v>
      </c>
      <c r="B543" t="str">
        <v>MOBILIARIO Y MÓDULOS</v>
      </c>
      <c r="C543" t="str">
        <v>FILA-45</v>
      </c>
      <c r="D543" s="97" t="str">
        <v>Muebles de cocina bajos</v>
      </c>
      <c r="E543" t="str">
        <v>mtl</v>
      </c>
      <c r="F543" s="95"/>
      <c r="G543" s="95"/>
      <c r="H543" s="95"/>
      <c r="I543" s="95" t="n">
        <v>165</v>
      </c>
      <c r="J543" s="96" t="n">
        <v>0</v>
      </c>
      <c r="K543" s="95" t="n">
        <f>I543*(1+J543)</f>
        <v>165</v>
      </c>
      <c r="L543" s="96" t="n">
        <v>0.3</v>
      </c>
      <c r="M543" s="95" t="n">
        <f>K543*(1+L543)</f>
        <v>214.5</v>
      </c>
      <c r="N543" t="str">
        <v>Base interna retail</v>
      </c>
      <c r="O543" t="str">
        <v>Sin fecha indicada</v>
      </c>
      <c r="P543" s="97" t="str">
        <v>BASE INTERNA · fecha y alcance por verificar</v>
      </c>
      <c r="Q543" t="str">
        <v>MUEBLE ALTO DE COCINA</v>
      </c>
      <c r="R543" t="str">
        <v>muebles de cocina bajos</v>
      </c>
    </row>
    <row r="544">
      <c r="A544" t="str">
        <v>INT-0037</v>
      </c>
      <c r="B544" t="str">
        <v>MOBILIARIO Y MÓDULOS</v>
      </c>
      <c r="C544" t="str">
        <v>FILA-46</v>
      </c>
      <c r="D544" s="97" t="str">
        <v>Muebles de cocina altos</v>
      </c>
      <c r="E544" t="str">
        <v>mtl</v>
      </c>
      <c r="F544" s="95"/>
      <c r="G544" s="95"/>
      <c r="H544" s="95"/>
      <c r="I544" s="95" t="n">
        <v>150</v>
      </c>
      <c r="J544" s="96" t="n">
        <v>0</v>
      </c>
      <c r="K544" s="95" t="n">
        <f>I544*(1+J544)</f>
        <v>150</v>
      </c>
      <c r="L544" s="96" t="n">
        <v>0.3</v>
      </c>
      <c r="M544" s="95" t="n">
        <f>K544*(1+L544)</f>
        <v>195</v>
      </c>
      <c r="N544" t="str">
        <v>Base interna retail</v>
      </c>
      <c r="O544" t="str">
        <v>Sin fecha indicada</v>
      </c>
      <c r="P544" s="97" t="str">
        <v>BASE INTERNA · fecha y alcance por verificar</v>
      </c>
      <c r="Q544" t="str">
        <v>MUEBLE ALTO DE COCINA</v>
      </c>
      <c r="R544" t="str">
        <v>muebles de cocina altos</v>
      </c>
    </row>
    <row r="545">
      <c r="A545" t="str">
        <v>INT-0038</v>
      </c>
      <c r="B545" t="str">
        <v>MOBILIARIO Y MÓDULOS</v>
      </c>
      <c r="C545" t="str">
        <v>FILA-47</v>
      </c>
      <c r="D545" s="97" t="str">
        <v>Desayunador isla para cocina</v>
      </c>
      <c r="E545" t="str">
        <v>mtl</v>
      </c>
      <c r="F545" s="95"/>
      <c r="G545" s="95"/>
      <c r="H545" s="95"/>
      <c r="I545" s="95" t="n">
        <v>155</v>
      </c>
      <c r="J545" s="96" t="n">
        <v>0</v>
      </c>
      <c r="K545" s="95" t="n">
        <f>I545*(1+J545)</f>
        <v>155</v>
      </c>
      <c r="L545" s="96" t="n">
        <v>0.3</v>
      </c>
      <c r="M545" s="95" t="n">
        <f>K545*(1+L545)</f>
        <v>201.5</v>
      </c>
      <c r="N545" t="str">
        <v>Base interna retail</v>
      </c>
      <c r="O545" t="str">
        <v>Sin fecha indicada</v>
      </c>
      <c r="P545" s="97" t="str">
        <v>BASE INTERNA · fecha y alcance por verificar</v>
      </c>
      <c r="Q545" t="str">
        <v>MUEBLE ALTO DE COCINA</v>
      </c>
      <c r="R545" t="str">
        <v>desayunador isla para cocina</v>
      </c>
    </row>
    <row r="546">
      <c r="A546" t="str">
        <v>INT-0039</v>
      </c>
      <c r="B546" t="str">
        <v>MOBILIARIO Y MÓDULOS</v>
      </c>
      <c r="C546" t="str">
        <v>FILA-48</v>
      </c>
      <c r="D546" s="97" t="str">
        <v>Muebles de baño</v>
      </c>
      <c r="E546" t="str">
        <v>u</v>
      </c>
      <c r="F546" s="95"/>
      <c r="G546" s="95"/>
      <c r="H546" s="95"/>
      <c r="I546" s="95" t="n">
        <v>120</v>
      </c>
      <c r="J546" s="96" t="n">
        <v>0</v>
      </c>
      <c r="K546" s="95" t="n">
        <f>I546*(1+J546)</f>
        <v>120</v>
      </c>
      <c r="L546" s="96" t="n">
        <v>0.3</v>
      </c>
      <c r="M546" s="95" t="n">
        <f>K546*(1+L546)</f>
        <v>156</v>
      </c>
      <c r="N546" t="str">
        <v>Base interna retail</v>
      </c>
      <c r="O546" t="str">
        <v>Sin fecha indicada</v>
      </c>
      <c r="P546" s="97" t="str">
        <v>BASE INTERNA · fecha y alcance por verificar</v>
      </c>
      <c r="Q546" t="str">
        <v>MUEBLE ALTO DE COCINA</v>
      </c>
      <c r="R546" t="str">
        <v>muebles de bano</v>
      </c>
    </row>
    <row r="547">
      <c r="A547" t="str">
        <v>INT-0040</v>
      </c>
      <c r="B547" t="str">
        <v>MOBILIARIO Y MÓDULOS</v>
      </c>
      <c r="C547" t="str">
        <v>FILA-49</v>
      </c>
      <c r="D547" s="97" t="str">
        <v>Puerta interior</v>
      </c>
      <c r="E547" t="str">
        <v>u</v>
      </c>
      <c r="F547" s="95"/>
      <c r="G547" s="95"/>
      <c r="H547" s="95"/>
      <c r="I547" s="95" t="n">
        <v>200</v>
      </c>
      <c r="J547" s="96" t="n">
        <v>0</v>
      </c>
      <c r="K547" s="95" t="n">
        <f>I547*(1+J547)</f>
        <v>200</v>
      </c>
      <c r="L547" s="96" t="n">
        <v>0.3</v>
      </c>
      <c r="M547" s="95" t="n">
        <f>K547*(1+L547)</f>
        <v>260</v>
      </c>
      <c r="N547" t="str">
        <v>Base interna retail</v>
      </c>
      <c r="O547" t="str">
        <v>Sin fecha indicada</v>
      </c>
      <c r="P547" s="97" t="str">
        <v>BASE INTERNA · fecha y alcance por verificar</v>
      </c>
      <c r="Q547" t="str">
        <v>MUEBLE ALTO DE COCINA</v>
      </c>
      <c r="R547" t="str">
        <v>puerta interior</v>
      </c>
    </row>
    <row r="548">
      <c r="A548" t="str">
        <v>INT-0041</v>
      </c>
      <c r="B548" t="str">
        <v>ROTULACIÓN Y SEÑALÉTICA</v>
      </c>
      <c r="C548" t="str">
        <v>FILA-52</v>
      </c>
      <c r="D548" s="97" t="str">
        <v>LETRERO DE FACHADA PRINCIPAL</v>
      </c>
      <c r="E548" t="str">
        <v>u</v>
      </c>
      <c r="F548" s="95"/>
      <c r="G548" s="95"/>
      <c r="H548" s="95"/>
      <c r="I548" s="95" t="n">
        <v>850</v>
      </c>
      <c r="J548" s="96" t="n">
        <v>0</v>
      </c>
      <c r="K548" s="95" t="n">
        <f>I548*(1+J548)</f>
        <v>850</v>
      </c>
      <c r="L548" s="96" t="n">
        <v>0.3</v>
      </c>
      <c r="M548" s="95" t="n">
        <f>K548*(1+L548)</f>
        <v>1105</v>
      </c>
      <c r="N548" t="str">
        <v>Base interna retail</v>
      </c>
      <c r="O548" t="str">
        <v>Sin fecha indicada</v>
      </c>
      <c r="P548" s="97" t="str">
        <v>BASE INTERNA · fecha y alcance por verificar</v>
      </c>
      <c r="Q548" t="str">
        <v>ROTULACION - SEÑALETICA</v>
      </c>
      <c r="R548" t="str">
        <v>letrero de fachada principal</v>
      </c>
    </row>
    <row r="549">
      <c r="A549" t="str">
        <v>INT-0042</v>
      </c>
      <c r="B549" t="str">
        <v>ROTULACIÓN Y SEÑALÉTICA</v>
      </c>
      <c r="C549" t="str">
        <v>FILA-53</v>
      </c>
      <c r="D549" s="97" t="str">
        <v>ROTULO VITAMINS</v>
      </c>
      <c r="E549" t="str">
        <v>u</v>
      </c>
      <c r="F549" s="95"/>
      <c r="G549" s="95"/>
      <c r="H549" s="95"/>
      <c r="I549" s="95" t="n">
        <v>80</v>
      </c>
      <c r="J549" s="96" t="n">
        <v>0</v>
      </c>
      <c r="K549" s="95" t="n">
        <f>I549*(1+J549)</f>
        <v>80</v>
      </c>
      <c r="L549" s="96" t="n">
        <v>1.2</v>
      </c>
      <c r="M549" s="95" t="n">
        <f>K549*(1+L549)</f>
        <v>176</v>
      </c>
      <c r="N549" t="str">
        <v>Base interna retail</v>
      </c>
      <c r="O549" t="str">
        <v>Sin fecha indicada</v>
      </c>
      <c r="P549" s="97" t="str">
        <v>BASE INTERNA · fecha y alcance por verificar</v>
      </c>
      <c r="Q549" t="str">
        <v>ROTULACION - SEÑALETICA</v>
      </c>
      <c r="R549" t="str">
        <v>rotulo vitamins</v>
      </c>
    </row>
    <row r="550">
      <c r="A550" t="str">
        <v>INT-0043</v>
      </c>
      <c r="B550" t="str">
        <v>ROTULACIÓN Y SEÑALÉTICA</v>
      </c>
      <c r="C550" t="str">
        <v>FILA-54</v>
      </c>
      <c r="D550" s="97" t="str">
        <v>ROTULO RECOVERY</v>
      </c>
      <c r="E550" t="str">
        <v>u</v>
      </c>
      <c r="F550" s="95"/>
      <c r="G550" s="95"/>
      <c r="H550" s="95"/>
      <c r="I550" s="95" t="n">
        <v>80</v>
      </c>
      <c r="J550" s="96" t="n">
        <v>0</v>
      </c>
      <c r="K550" s="95" t="n">
        <f>I550*(1+J550)</f>
        <v>80</v>
      </c>
      <c r="L550" s="96" t="n">
        <v>1.2</v>
      </c>
      <c r="M550" s="95" t="n">
        <f>K550*(1+L550)</f>
        <v>176</v>
      </c>
      <c r="N550" t="str">
        <v>Base interna retail</v>
      </c>
      <c r="O550" t="str">
        <v>Sin fecha indicada</v>
      </c>
      <c r="P550" s="97" t="str">
        <v>BASE INTERNA · fecha y alcance por verificar</v>
      </c>
      <c r="Q550" t="str">
        <v>ROTULACION - SEÑALETICA</v>
      </c>
      <c r="R550" t="str">
        <v>rotulo recovery</v>
      </c>
    </row>
    <row r="551">
      <c r="A551" t="str">
        <v>INT-0044</v>
      </c>
      <c r="B551" t="str">
        <v>ROTULACIÓN Y SEÑALÉTICA</v>
      </c>
      <c r="C551" t="str">
        <v>FILA-55</v>
      </c>
      <c r="D551" s="97" t="str">
        <v>ROTULO PROTEINA</v>
      </c>
      <c r="E551" t="str">
        <v>u</v>
      </c>
      <c r="F551" s="95"/>
      <c r="G551" s="95"/>
      <c r="H551" s="95"/>
      <c r="I551" s="95" t="n">
        <v>80</v>
      </c>
      <c r="J551" s="96" t="n">
        <v>0</v>
      </c>
      <c r="K551" s="95" t="n">
        <f>I551*(1+J551)</f>
        <v>80</v>
      </c>
      <c r="L551" s="96" t="n">
        <v>1.2</v>
      </c>
      <c r="M551" s="95" t="n">
        <f>K551*(1+L551)</f>
        <v>176</v>
      </c>
      <c r="N551" t="str">
        <v>Base interna retail</v>
      </c>
      <c r="O551" t="str">
        <v>Sin fecha indicada</v>
      </c>
      <c r="P551" s="97" t="str">
        <v>BASE INTERNA · fecha y alcance por verificar</v>
      </c>
      <c r="Q551" t="str">
        <v>ROTULACION - SEÑALETICA</v>
      </c>
      <c r="R551" t="str">
        <v>rotulo proteina</v>
      </c>
    </row>
    <row r="552">
      <c r="A552" t="str">
        <v>INT-0045</v>
      </c>
      <c r="B552" t="str">
        <v>ROTULACIÓN Y SEÑALÉTICA</v>
      </c>
      <c r="C552" t="str">
        <v>FILA-56</v>
      </c>
      <c r="D552" s="97" t="str">
        <v>ROTULO BEAUTY</v>
      </c>
      <c r="E552" t="str">
        <v>u</v>
      </c>
      <c r="F552" s="95"/>
      <c r="G552" s="95"/>
      <c r="H552" s="95"/>
      <c r="I552" s="95" t="n">
        <v>80</v>
      </c>
      <c r="J552" s="96" t="n">
        <v>0</v>
      </c>
      <c r="K552" s="95" t="n">
        <f>I552*(1+J552)</f>
        <v>80</v>
      </c>
      <c r="L552" s="96" t="n">
        <v>1.2</v>
      </c>
      <c r="M552" s="95" t="n">
        <f>K552*(1+L552)</f>
        <v>176</v>
      </c>
      <c r="N552" t="str">
        <v>Base interna retail</v>
      </c>
      <c r="O552" t="str">
        <v>Sin fecha indicada</v>
      </c>
      <c r="P552" s="97" t="str">
        <v>BASE INTERNA · fecha y alcance por verificar</v>
      </c>
      <c r="Q552" t="str">
        <v>ROTULACION - SEÑALETICA</v>
      </c>
      <c r="R552" t="str">
        <v>rotulo beauty</v>
      </c>
    </row>
    <row r="553">
      <c r="A553" t="str">
        <v>INT-0046</v>
      </c>
      <c r="B553" t="str">
        <v>ROTULACIÓN Y SEÑALÉTICA</v>
      </c>
      <c r="C553" t="str">
        <v>FILA-57</v>
      </c>
      <c r="D553" s="97" t="str">
        <v>ROTULO COLD DRINKS</v>
      </c>
      <c r="E553" t="str">
        <v>u</v>
      </c>
      <c r="F553" s="95"/>
      <c r="G553" s="95"/>
      <c r="H553" s="95"/>
      <c r="I553" s="95" t="n">
        <v>80</v>
      </c>
      <c r="J553" s="96" t="n">
        <v>0</v>
      </c>
      <c r="K553" s="95" t="n">
        <f>I553*(1+J553)</f>
        <v>80</v>
      </c>
      <c r="L553" s="96" t="n">
        <v>1.2</v>
      </c>
      <c r="M553" s="95" t="n">
        <f>K553*(1+L553)</f>
        <v>176</v>
      </c>
      <c r="N553" t="str">
        <v>Base interna retail</v>
      </c>
      <c r="O553" t="str">
        <v>Sin fecha indicada</v>
      </c>
      <c r="P553" s="97" t="str">
        <v>BASE INTERNA · fecha y alcance por verificar</v>
      </c>
      <c r="Q553" t="str">
        <v>ROTULACION - SEÑALETICA</v>
      </c>
      <c r="R553" t="str">
        <v>rotulo cold drinks</v>
      </c>
    </row>
    <row r="554">
      <c r="A554" t="str">
        <v>INT-0047</v>
      </c>
      <c r="B554" t="str">
        <v>ROTULACIÓN Y SEÑALÉTICA</v>
      </c>
      <c r="C554" t="str">
        <v>FILA-58</v>
      </c>
      <c r="D554" s="97" t="str">
        <v>ROTULO GET SET GO</v>
      </c>
      <c r="E554" t="str">
        <v>u</v>
      </c>
      <c r="F554" s="95"/>
      <c r="G554" s="95"/>
      <c r="H554" s="95"/>
      <c r="I554" s="95" t="n">
        <v>80</v>
      </c>
      <c r="J554" s="96" t="n">
        <v>0</v>
      </c>
      <c r="K554" s="95" t="n">
        <f>I554*(1+J554)</f>
        <v>80</v>
      </c>
      <c r="L554" s="96" t="n">
        <v>1.2</v>
      </c>
      <c r="M554" s="95" t="n">
        <f>K554*(1+L554)</f>
        <v>176</v>
      </c>
      <c r="N554" t="str">
        <v>Base interna retail</v>
      </c>
      <c r="O554" t="str">
        <v>Sin fecha indicada</v>
      </c>
      <c r="P554" s="97" t="str">
        <v>BASE INTERNA · fecha y alcance por verificar</v>
      </c>
      <c r="Q554" t="str">
        <v>ROTULACION - SEÑALETICA</v>
      </c>
      <c r="R554" t="str">
        <v>rotulo get set go</v>
      </c>
    </row>
    <row r="555">
      <c r="A555" t="str">
        <v>INT-0048</v>
      </c>
      <c r="B555" t="str">
        <v>ROTULACIÓN Y SEÑALÉTICA</v>
      </c>
      <c r="C555" t="str">
        <v>FILA-59</v>
      </c>
      <c r="D555" s="97" t="str">
        <v>ROTULO CREATINE</v>
      </c>
      <c r="E555" t="str">
        <v>u</v>
      </c>
      <c r="F555" s="95"/>
      <c r="G555" s="95"/>
      <c r="H555" s="95"/>
      <c r="I555" s="95" t="n">
        <v>80</v>
      </c>
      <c r="J555" s="96" t="n">
        <v>0</v>
      </c>
      <c r="K555" s="95" t="n">
        <f>I555*(1+J555)</f>
        <v>80</v>
      </c>
      <c r="L555" s="96" t="n">
        <v>1.2</v>
      </c>
      <c r="M555" s="95" t="n">
        <f>K555*(1+L555)</f>
        <v>176</v>
      </c>
      <c r="N555" t="str">
        <v>Base interna retail</v>
      </c>
      <c r="O555" t="str">
        <v>Sin fecha indicada</v>
      </c>
      <c r="P555" s="97" t="str">
        <v>BASE INTERNA · fecha y alcance por verificar</v>
      </c>
      <c r="Q555" t="str">
        <v>ROTULACION - SEÑALETICA</v>
      </c>
      <c r="R555" t="str">
        <v>rotulo creatine</v>
      </c>
    </row>
    <row r="556">
      <c r="A556" t="str">
        <v>INT-0049</v>
      </c>
      <c r="B556" t="str">
        <v>ROTULACIÓN Y SEÑALÉTICA</v>
      </c>
      <c r="C556" t="str">
        <v>FILA-60</v>
      </c>
      <c r="D556" s="97" t="str">
        <v>ROTULO CAJA</v>
      </c>
      <c r="E556" t="str">
        <v>u</v>
      </c>
      <c r="F556" s="95"/>
      <c r="G556" s="95"/>
      <c r="H556" s="95"/>
      <c r="I556" s="95" t="n">
        <v>80</v>
      </c>
      <c r="J556" s="96" t="n">
        <v>0</v>
      </c>
      <c r="K556" s="95" t="n">
        <f>I556*(1+J556)</f>
        <v>80</v>
      </c>
      <c r="L556" s="96" t="n">
        <v>1.2</v>
      </c>
      <c r="M556" s="95" t="n">
        <f>K556*(1+L556)</f>
        <v>176</v>
      </c>
      <c r="N556" t="str">
        <v>Base interna retail</v>
      </c>
      <c r="O556" t="str">
        <v>Sin fecha indicada</v>
      </c>
      <c r="P556" s="97" t="str">
        <v>BASE INTERNA · fecha y alcance por verificar</v>
      </c>
      <c r="Q556" t="str">
        <v>ROTULACION - SEÑALETICA</v>
      </c>
      <c r="R556" t="str">
        <v>rotulo caja</v>
      </c>
    </row>
    <row r="557">
      <c r="A557" t="str">
        <v>INT-0050</v>
      </c>
      <c r="B557" t="str">
        <v>ROTULACIÓN Y SEÑALÉTICA</v>
      </c>
      <c r="C557" t="str">
        <v>FILA-61</v>
      </c>
      <c r="D557" s="97" t="str">
        <v>LONA DE ESPECTATIVA</v>
      </c>
      <c r="E557" t="str">
        <v>m²</v>
      </c>
      <c r="F557" s="95"/>
      <c r="G557" s="95"/>
      <c r="H557" s="95"/>
      <c r="I557" s="95" t="n">
        <v>10</v>
      </c>
      <c r="J557" s="96" t="n">
        <v>0</v>
      </c>
      <c r="K557" s="95" t="n">
        <f>I557*(1+J557)</f>
        <v>10</v>
      </c>
      <c r="L557" s="96" t="n">
        <v>0.3</v>
      </c>
      <c r="M557" s="95" t="n">
        <f>K557*(1+L557)</f>
        <v>13</v>
      </c>
      <c r="N557" t="str">
        <v>Base interna retail</v>
      </c>
      <c r="O557" t="str">
        <v>Sin fecha indicada</v>
      </c>
      <c r="P557" s="97" t="str">
        <v>BASE INTERNA · fecha y alcance por verificar</v>
      </c>
      <c r="Q557" t="str">
        <v>ROTULACION - SEÑALETICA</v>
      </c>
      <c r="R557" t="str">
        <v>lona de espectativa</v>
      </c>
    </row>
    <row r="558">
      <c r="A558" t="str">
        <v>INT-0051</v>
      </c>
      <c r="B558" t="str">
        <v>ROTULACIÓN Y SEÑALÉTICA</v>
      </c>
      <c r="C558" t="str">
        <v>FILA-67</v>
      </c>
      <c r="D558" s="97" t="str">
        <v>ALUCOBOND PARA CUBRIR DINTEL PARA ROTULO PRINCIPAL</v>
      </c>
      <c r="E558" t="str">
        <v>mtl</v>
      </c>
      <c r="F558" s="95"/>
      <c r="G558" s="95"/>
      <c r="H558" s="95"/>
      <c r="I558" s="95" t="n">
        <v>90</v>
      </c>
      <c r="J558" s="96" t="n">
        <v>0</v>
      </c>
      <c r="K558" s="95" t="n">
        <f>I558*(1+J558)</f>
        <v>90</v>
      </c>
      <c r="L558" s="96" t="n">
        <v>0.3</v>
      </c>
      <c r="M558" s="95" t="n">
        <f>K558*(1+L558)</f>
        <v>117</v>
      </c>
      <c r="N558" t="str">
        <v>Base interna retail</v>
      </c>
      <c r="O558" t="str">
        <v>Sin fecha indicada</v>
      </c>
      <c r="P558" s="97" t="str">
        <v>BASE INTERNA · fecha y alcance por verificar</v>
      </c>
      <c r="Q558" t="str">
        <v>ROTULACION - SEÑALETICA</v>
      </c>
      <c r="R558" t="str">
        <v>alucobond para cubrir dintel para rotulo principal</v>
      </c>
    </row>
    <row r="559">
      <c r="A559" t="str">
        <v>INT-0052</v>
      </c>
      <c r="B559" t="str">
        <v>ROTULACIÓN Y SEÑALÉTICA</v>
      </c>
      <c r="C559" t="str">
        <v>FILA-68</v>
      </c>
      <c r="D559" s="97" t="str">
        <v>MAMPARA DE VIDRIO TEMPLADO CON PUTO FIJO Y ZOCALO</v>
      </c>
      <c r="E559" t="str">
        <v>m²</v>
      </c>
      <c r="F559" s="95"/>
      <c r="G559" s="95"/>
      <c r="H559" s="95"/>
      <c r="I559" s="95" t="n">
        <v>160</v>
      </c>
      <c r="J559" s="96" t="n">
        <v>0</v>
      </c>
      <c r="K559" s="95" t="n">
        <f>I559*(1+J559)</f>
        <v>160</v>
      </c>
      <c r="L559" s="96" t="n">
        <v>0.3</v>
      </c>
      <c r="M559" s="95" t="n">
        <f>K559*(1+L559)</f>
        <v>208</v>
      </c>
      <c r="N559" t="str">
        <v>Base interna retail</v>
      </c>
      <c r="O559" t="str">
        <v>Sin fecha indicada</v>
      </c>
      <c r="P559" s="97" t="str">
        <v>BASE INTERNA · fecha y alcance por verificar</v>
      </c>
      <c r="Q559" t="str">
        <v>ROTULACION - SEÑALETICA</v>
      </c>
      <c r="R559" t="str">
        <v>mampara de vidrio templado con puto fijo y zocalo</v>
      </c>
    </row>
    <row r="560">
      <c r="A560" t="str">
        <v>INT-0053</v>
      </c>
      <c r="B560" t="str">
        <v>ROTULACIÓN Y SEÑALÉTICA</v>
      </c>
      <c r="C560" t="str">
        <v>FILA-69</v>
      </c>
      <c r="D560" s="97" t="str">
        <v>PUERTA ENROLLABLE CON MOTOR</v>
      </c>
      <c r="E560" t="str">
        <v>m²</v>
      </c>
      <c r="F560" s="95"/>
      <c r="G560" s="95"/>
      <c r="H560" s="95"/>
      <c r="I560" s="95" t="n">
        <v>150</v>
      </c>
      <c r="J560" s="96" t="n">
        <v>0</v>
      </c>
      <c r="K560" s="95" t="n">
        <f>I560*(1+J560)</f>
        <v>150</v>
      </c>
      <c r="L560" s="96" t="n">
        <v>0.25</v>
      </c>
      <c r="M560" s="95" t="n">
        <f>K560*(1+L560)</f>
        <v>187.5</v>
      </c>
      <c r="N560" t="str">
        <v>Base interna retail</v>
      </c>
      <c r="O560" t="str">
        <v>Sin fecha indicada</v>
      </c>
      <c r="P560" s="97" t="str">
        <v>BASE INTERNA · fecha y alcance por verificar</v>
      </c>
      <c r="Q560" t="str">
        <v>ROTULACION - SEÑALETICA</v>
      </c>
      <c r="R560" t="str">
        <v>puerta enrollable con motor</v>
      </c>
    </row>
    <row r="561">
      <c r="A561" t="str">
        <v>INT-0054</v>
      </c>
      <c r="B561" t="str">
        <v>ROTULACIÓN Y SEÑALÉTICA</v>
      </c>
      <c r="C561" t="str">
        <v>FILA-70</v>
      </c>
      <c r="D561" s="97" t="str">
        <v>PUERTAS DE VIDRIO</v>
      </c>
      <c r="E561" t="str">
        <v>u</v>
      </c>
      <c r="F561" s="95"/>
      <c r="G561" s="95"/>
      <c r="H561" s="95"/>
      <c r="I561" s="95" t="n">
        <v>350</v>
      </c>
      <c r="J561" s="96" t="n">
        <v>0</v>
      </c>
      <c r="K561" s="95" t="n">
        <f>I561*(1+J561)</f>
        <v>350</v>
      </c>
      <c r="L561" s="96" t="n">
        <v>0.3</v>
      </c>
      <c r="M561" s="95" t="n">
        <f>K561*(1+L561)</f>
        <v>455</v>
      </c>
      <c r="N561" t="str">
        <v>Base interna retail</v>
      </c>
      <c r="O561" t="str">
        <v>Sin fecha indicada</v>
      </c>
      <c r="P561" s="97" t="str">
        <v>BASE INTERNA · fecha y alcance por verificar</v>
      </c>
      <c r="Q561" t="str">
        <v>ROTULACION - SEÑALETICA</v>
      </c>
      <c r="R561" t="str">
        <v>puertas de vidrio</v>
      </c>
    </row>
    <row r="562">
      <c r="A562" t="str">
        <v>INT-0055</v>
      </c>
      <c r="B562" t="str">
        <v>ROTULACIÓN Y SEÑALÉTICA</v>
      </c>
      <c r="C562" t="str">
        <v>FILA-71</v>
      </c>
      <c r="D562" s="97" t="str">
        <v>PUERTAS DE VITRINA CON ACCESORIO ACERO INOX</v>
      </c>
      <c r="E562" t="str">
        <v>m²</v>
      </c>
      <c r="F562" s="95"/>
      <c r="G562" s="95"/>
      <c r="H562" s="95"/>
      <c r="I562" s="95" t="n">
        <v>165</v>
      </c>
      <c r="J562" s="96" t="n">
        <v>0</v>
      </c>
      <c r="K562" s="95" t="n">
        <f>I562*(1+J562)</f>
        <v>165</v>
      </c>
      <c r="L562" s="96" t="n">
        <v>0.3</v>
      </c>
      <c r="M562" s="95" t="n">
        <f>K562*(1+L562)</f>
        <v>214.5</v>
      </c>
      <c r="N562" t="str">
        <v>Base interna retail</v>
      </c>
      <c r="O562" t="str">
        <v>Sin fecha indicada</v>
      </c>
      <c r="P562" s="97" t="str">
        <v>BASE INTERNA · fecha y alcance por verificar</v>
      </c>
      <c r="Q562" t="str">
        <v>ROTULACION - SEÑALETICA</v>
      </c>
      <c r="R562" t="str">
        <v>puertas de vitrina con accesorio acero inox</v>
      </c>
    </row>
    <row r="563">
      <c r="A563" t="str">
        <v>INT-0056</v>
      </c>
      <c r="B563" t="str">
        <v>ACABADOS Y GYPSUM</v>
      </c>
      <c r="C563" t="str">
        <v>FILA-78</v>
      </c>
      <c r="D563" s="97" t="str">
        <v>CIELO RAZO PLANO HORIZONTAL CON PINTURA Y ESTUCO</v>
      </c>
      <c r="E563" t="str">
        <v>m²</v>
      </c>
      <c r="F563" s="95"/>
      <c r="G563" s="95"/>
      <c r="H563" s="95"/>
      <c r="I563" s="95" t="n">
        <v>18</v>
      </c>
      <c r="J563" s="96" t="n">
        <v>0</v>
      </c>
      <c r="K563" s="95" t="n">
        <f>I563*(1+J563)</f>
        <v>18</v>
      </c>
      <c r="L563" s="96" t="n">
        <v>0.3</v>
      </c>
      <c r="M563" s="95" t="n">
        <f>K563*(1+L563)</f>
        <v>23.400000000000002</v>
      </c>
      <c r="N563" t="str">
        <v>Base interna retail</v>
      </c>
      <c r="O563" t="str">
        <v>Sin fecha indicada</v>
      </c>
      <c r="P563" s="97" t="str">
        <v>BASE INTERNA · fecha y alcance por verificar</v>
      </c>
      <c r="Q563" t="str">
        <v>ACABADOS Y GYPSUM</v>
      </c>
      <c r="R563" t="str">
        <v>cielo razo plano horizontal con pintura y estuco</v>
      </c>
    </row>
    <row r="564">
      <c r="A564" t="str">
        <v>INT-0057</v>
      </c>
      <c r="B564" t="str">
        <v>ACABADOS Y GYPSUM</v>
      </c>
      <c r="C564" t="str">
        <v>FILA-79</v>
      </c>
      <c r="D564" s="97" t="str">
        <v>PARED DOBLE CARA EN GYPSUM CON PINTURA Y ESTUCO</v>
      </c>
      <c r="E564" t="str">
        <v>m²</v>
      </c>
      <c r="F564" s="95"/>
      <c r="G564" s="95"/>
      <c r="H564" s="95"/>
      <c r="I564" s="95" t="n">
        <v>31</v>
      </c>
      <c r="J564" s="96" t="n">
        <v>0</v>
      </c>
      <c r="K564" s="95" t="n">
        <f>I564*(1+J564)</f>
        <v>31</v>
      </c>
      <c r="L564" s="96" t="n">
        <v>0.3</v>
      </c>
      <c r="M564" s="95" t="n">
        <f>K564*(1+L564)</f>
        <v>40.300000000000004</v>
      </c>
      <c r="N564" t="str">
        <v>Base interna retail</v>
      </c>
      <c r="O564" t="str">
        <v>Sin fecha indicada</v>
      </c>
      <c r="P564" s="97" t="str">
        <v>BASE INTERNA · fecha y alcance por verificar</v>
      </c>
      <c r="Q564" t="str">
        <v>ACABADOS Y GYPSUM</v>
      </c>
      <c r="R564" t="str">
        <v>pared doble cara en gypsum con pintura y estuco</v>
      </c>
    </row>
    <row r="565">
      <c r="A565" t="str">
        <v>INT-0058</v>
      </c>
      <c r="B565" t="str">
        <v>ACABADOS Y GYPSUM</v>
      </c>
      <c r="C565" t="str">
        <v>FILA-80</v>
      </c>
      <c r="D565" s="97" t="str">
        <v>PARED UNA CARA EN GYPSUM CON PINTURA Y ESTUCO</v>
      </c>
      <c r="E565" t="str">
        <v>m²</v>
      </c>
      <c r="F565" s="95"/>
      <c r="G565" s="95"/>
      <c r="H565" s="95"/>
      <c r="I565" s="95" t="n">
        <v>21</v>
      </c>
      <c r="J565" s="96" t="n">
        <v>0</v>
      </c>
      <c r="K565" s="95" t="n">
        <f>I565*(1+J565)</f>
        <v>21</v>
      </c>
      <c r="L565" s="96" t="n">
        <v>0.3</v>
      </c>
      <c r="M565" s="95" t="n">
        <f>K565*(1+L565)</f>
        <v>27.3</v>
      </c>
      <c r="N565" t="str">
        <v>Base interna retail</v>
      </c>
      <c r="O565" t="str">
        <v>Sin fecha indicada</v>
      </c>
      <c r="P565" s="97" t="str">
        <v>BASE INTERNA · fecha y alcance por verificar</v>
      </c>
      <c r="Q565" t="str">
        <v>ACABADOS Y GYPSUM</v>
      </c>
      <c r="R565" t="str">
        <v>pared una cara en gypsum con pintura y estuco</v>
      </c>
    </row>
    <row r="566">
      <c r="A566" t="str">
        <v>INT-0059</v>
      </c>
      <c r="B566" t="str">
        <v>ACABADOS Y GYPSUM</v>
      </c>
      <c r="C566" t="str">
        <v>FILA-81</v>
      </c>
      <c r="D566" s="97" t="str">
        <v>CERRAMIENTO PROVISIONAL PARA LONA DE ESPECTATIVA</v>
      </c>
      <c r="E566" t="str">
        <v>m²</v>
      </c>
      <c r="F566" s="95"/>
      <c r="G566" s="95"/>
      <c r="H566" s="95"/>
      <c r="I566" s="95" t="n">
        <v>13</v>
      </c>
      <c r="J566" s="96" t="n">
        <v>0</v>
      </c>
      <c r="K566" s="95" t="n">
        <f>I566*(1+J566)</f>
        <v>13</v>
      </c>
      <c r="L566" s="96" t="n">
        <v>0.3</v>
      </c>
      <c r="M566" s="95" t="n">
        <f>K566*(1+L566)</f>
        <v>16.900000000000002</v>
      </c>
      <c r="N566" t="str">
        <v>Base interna retail</v>
      </c>
      <c r="O566" t="str">
        <v>Sin fecha indicada</v>
      </c>
      <c r="P566" s="97" t="str">
        <v>BASE INTERNA · fecha y alcance por verificar</v>
      </c>
      <c r="Q566" t="str">
        <v>ACABADOS Y GYPSUM</v>
      </c>
      <c r="R566" t="str">
        <v>cerramiento provisional para lona de espectativa</v>
      </c>
    </row>
    <row r="567">
      <c r="A567" t="str">
        <v>INT-0060</v>
      </c>
      <c r="B567" t="str">
        <v>ROTULACIÓN Y SEÑALÉTICA</v>
      </c>
      <c r="C567" t="str">
        <v>FILA-82</v>
      </c>
      <c r="D567" s="97" t="str">
        <v>DINTEL PARA ROTULO PRINCIPAL</v>
      </c>
      <c r="E567" t="str">
        <v>mtl</v>
      </c>
      <c r="F567" s="95"/>
      <c r="G567" s="95"/>
      <c r="H567" s="95"/>
      <c r="I567" s="95" t="n">
        <v>12.8</v>
      </c>
      <c r="J567" s="96" t="n">
        <v>0</v>
      </c>
      <c r="K567" s="95" t="n">
        <f>I567*(1+J567)</f>
        <v>12.8</v>
      </c>
      <c r="L567" s="96" t="n">
        <v>0.3</v>
      </c>
      <c r="M567" s="95" t="n">
        <f>K567*(1+L567)</f>
        <v>16.64</v>
      </c>
      <c r="N567" t="str">
        <v>Base interna retail</v>
      </c>
      <c r="O567" t="str">
        <v>Sin fecha indicada</v>
      </c>
      <c r="P567" s="97" t="str">
        <v>BASE INTERNA · fecha y alcance por verificar</v>
      </c>
      <c r="Q567" t="str">
        <v>ACABADOS Y GYPSUM</v>
      </c>
      <c r="R567" t="str">
        <v>dintel para rotulo principal</v>
      </c>
    </row>
    <row r="568">
      <c r="A568" t="str">
        <v>INT-0061</v>
      </c>
      <c r="B568" t="str">
        <v>ACABADOS Y GYPSUM</v>
      </c>
      <c r="C568" t="str">
        <v>FILA-83</v>
      </c>
      <c r="D568" s="97" t="str">
        <v>VIATICOS OBREROS</v>
      </c>
      <c r="E568" t="str">
        <v>gl</v>
      </c>
      <c r="F568" s="95"/>
      <c r="G568" s="95"/>
      <c r="H568" s="95"/>
      <c r="I568" s="95" t="n">
        <v>600</v>
      </c>
      <c r="J568" s="96" t="n">
        <v>0</v>
      </c>
      <c r="K568" s="95" t="n">
        <f>I568*(1+J568)</f>
        <v>600</v>
      </c>
      <c r="L568" s="96" t="n">
        <v>0.3</v>
      </c>
      <c r="M568" s="95" t="n">
        <f>K568*(1+L568)</f>
        <v>780</v>
      </c>
      <c r="N568" t="str">
        <v>Base interna retail</v>
      </c>
      <c r="O568" t="str">
        <v>Sin fecha indicada</v>
      </c>
      <c r="P568" s="97" t="str">
        <v>BASE INTERNA · fecha y alcance por verificar</v>
      </c>
      <c r="Q568" t="str">
        <v>ACABADOS Y GYPSUM</v>
      </c>
      <c r="R568" t="str">
        <v>viaticos obreros</v>
      </c>
    </row>
    <row r="569">
      <c r="A569" t="str">
        <v>INT-0062</v>
      </c>
      <c r="B569" t="str">
        <v>ACABADOS Y GYPSUM</v>
      </c>
      <c r="C569" t="str">
        <v>FILA-84</v>
      </c>
      <c r="D569" s="97" t="str">
        <v>ARREGLO CIELO RAZO ACTUAL PLANTA BAJA</v>
      </c>
      <c r="E569" t="str">
        <v>m²</v>
      </c>
      <c r="F569" s="95"/>
      <c r="G569" s="95"/>
      <c r="H569" s="95"/>
      <c r="I569" s="95" t="n">
        <v>8</v>
      </c>
      <c r="J569" s="96" t="n">
        <v>0</v>
      </c>
      <c r="K569" s="95" t="n">
        <f>I569*(1+J569)</f>
        <v>8</v>
      </c>
      <c r="L569" s="96" t="n">
        <v>0.3</v>
      </c>
      <c r="M569" s="95" t="n">
        <f>K569*(1+L569)</f>
        <v>10.4</v>
      </c>
      <c r="N569" t="str">
        <v>Base interna retail</v>
      </c>
      <c r="O569" t="str">
        <v>Sin fecha indicada</v>
      </c>
      <c r="P569" s="97" t="str">
        <v>BASE INTERNA · fecha y alcance por verificar</v>
      </c>
      <c r="Q569" t="str">
        <v>ACABADOS Y GYPSUM</v>
      </c>
      <c r="R569" t="str">
        <v>arreglo cielo razo actual planta baja</v>
      </c>
    </row>
    <row r="570">
      <c r="A570" t="str">
        <v>INT-0063</v>
      </c>
      <c r="B570" t="str">
        <v>VIDRIO Y ALUMINIO</v>
      </c>
      <c r="C570" t="str">
        <v>FILA-85</v>
      </c>
      <c r="D570" s="97" t="str">
        <v>DINTEL PARA VENTANA DE CONSULTORIO</v>
      </c>
      <c r="E570" t="str">
        <v>mtl</v>
      </c>
      <c r="F570" s="95"/>
      <c r="G570" s="95"/>
      <c r="H570" s="95"/>
      <c r="I570" s="95" t="n">
        <v>12.8</v>
      </c>
      <c r="J570" s="96" t="n">
        <v>0</v>
      </c>
      <c r="K570" s="95" t="n">
        <f>I570*(1+J570)</f>
        <v>12.8</v>
      </c>
      <c r="L570" s="96" t="n">
        <v>0.3</v>
      </c>
      <c r="M570" s="95" t="n">
        <f>K570*(1+L570)</f>
        <v>16.64</v>
      </c>
      <c r="N570" t="str">
        <v>Base interna retail</v>
      </c>
      <c r="O570" t="str">
        <v>Sin fecha indicada</v>
      </c>
      <c r="P570" s="97" t="str">
        <v>BASE INTERNA · fecha y alcance por verificar</v>
      </c>
      <c r="Q570" t="str">
        <v>ACABADOS Y GYPSUM</v>
      </c>
      <c r="R570" t="str">
        <v>dintel para ventana de consultorio</v>
      </c>
    </row>
    <row r="571">
      <c r="A571" t="str">
        <v>INT-0064</v>
      </c>
      <c r="B571" t="str">
        <v>ACABADOS Y GYPSUM</v>
      </c>
      <c r="C571" t="str">
        <v>FILA-86</v>
      </c>
      <c r="D571" s="97" t="str">
        <v>ESTUCO Y PINTURA PARED MEZANINE VISTA EXTERIOR</v>
      </c>
      <c r="E571" t="str">
        <v>m²</v>
      </c>
      <c r="F571" s="95"/>
      <c r="G571" s="95"/>
      <c r="H571" s="95"/>
      <c r="I571" s="95" t="n">
        <v>8</v>
      </c>
      <c r="J571" s="96" t="n">
        <v>0</v>
      </c>
      <c r="K571" s="95" t="n">
        <f>I571*(1+J571)</f>
        <v>8</v>
      </c>
      <c r="L571" s="96" t="n">
        <v>0.3</v>
      </c>
      <c r="M571" s="95" t="n">
        <f>K571*(1+L571)</f>
        <v>10.4</v>
      </c>
      <c r="N571" t="str">
        <v>Base interna retail</v>
      </c>
      <c r="O571" t="str">
        <v>Sin fecha indicada</v>
      </c>
      <c r="P571" s="97" t="str">
        <v>BASE INTERNA · fecha y alcance por verificar</v>
      </c>
      <c r="Q571" t="str">
        <v>ACABADOS Y GYPSUM</v>
      </c>
      <c r="R571" t="str">
        <v>estuco y pintura pared mezanine vista exterior</v>
      </c>
    </row>
    <row r="572">
      <c r="A572" t="str">
        <v>INT-0065</v>
      </c>
      <c r="B572" t="str">
        <v>ACABADOS Y GYPSUM</v>
      </c>
      <c r="C572" t="str">
        <v>FILA-87</v>
      </c>
      <c r="D572" s="97" t="str">
        <v>PINTURA PARED INTERIOR DE MEZANINE</v>
      </c>
      <c r="E572" t="str">
        <v>m²</v>
      </c>
      <c r="F572" s="95"/>
      <c r="G572" s="95"/>
      <c r="H572" s="95"/>
      <c r="I572" s="95" t="n">
        <v>4</v>
      </c>
      <c r="J572" s="96" t="n">
        <v>0</v>
      </c>
      <c r="K572" s="95" t="n">
        <f>I572*(1+J572)</f>
        <v>4</v>
      </c>
      <c r="L572" s="96" t="n">
        <v>0.3</v>
      </c>
      <c r="M572" s="95" t="n">
        <f>K572*(1+L572)</f>
        <v>5.2</v>
      </c>
      <c r="N572" t="str">
        <v>Base interna retail</v>
      </c>
      <c r="O572" t="str">
        <v>Sin fecha indicada</v>
      </c>
      <c r="P572" s="97" t="str">
        <v>BASE INTERNA · fecha y alcance por verificar</v>
      </c>
      <c r="Q572" t="str">
        <v>ACABADOS Y GYPSUM</v>
      </c>
      <c r="R572" t="str">
        <v>pintura pared interior de mezanine</v>
      </c>
    </row>
    <row r="573">
      <c r="A573" t="str">
        <v>INT-0066</v>
      </c>
      <c r="B573" t="str">
        <v>ACABADOS Y GYPSUM</v>
      </c>
      <c r="C573" t="str">
        <v>FILA-88</v>
      </c>
      <c r="D573" s="97" t="str">
        <v>ESTUCO Y PINTURA DEL PERIMETRO ACTUAL PLANTA ALTA</v>
      </c>
      <c r="E573" t="str">
        <v>m²</v>
      </c>
      <c r="F573" s="95"/>
      <c r="G573" s="95"/>
      <c r="H573" s="95"/>
      <c r="I573" s="95" t="n">
        <v>6</v>
      </c>
      <c r="J573" s="96" t="n">
        <v>0</v>
      </c>
      <c r="K573" s="95" t="n">
        <f>I573*(1+J573)</f>
        <v>6</v>
      </c>
      <c r="L573" s="96" t="n">
        <v>0.3</v>
      </c>
      <c r="M573" s="95" t="n">
        <f>K573*(1+L573)</f>
        <v>7.800000000000001</v>
      </c>
      <c r="N573" t="str">
        <v>Base interna retail</v>
      </c>
      <c r="O573" t="str">
        <v>Sin fecha indicada</v>
      </c>
      <c r="P573" s="97" t="str">
        <v>BASE INTERNA · fecha y alcance por verificar</v>
      </c>
      <c r="Q573" t="str">
        <v>ACABADOS Y GYPSUM</v>
      </c>
      <c r="R573" t="str">
        <v>estuco y pintura del perimetro actual planta alta</v>
      </c>
    </row>
    <row r="574">
      <c r="A574" t="str">
        <v>INT-0067</v>
      </c>
      <c r="B574" t="str">
        <v>ACABADOS Y GYPSUM</v>
      </c>
      <c r="C574" t="str">
        <v>FILA-89</v>
      </c>
      <c r="D574" s="97" t="str">
        <v>ESTUCO Y PINTURA DEL PERIMETRO ACTUAL PLANTA BAJA</v>
      </c>
      <c r="E574" t="str">
        <v>m²</v>
      </c>
      <c r="F574" s="95"/>
      <c r="G574" s="95"/>
      <c r="H574" s="95"/>
      <c r="I574" s="95" t="n">
        <v>6</v>
      </c>
      <c r="J574" s="96" t="n">
        <v>0</v>
      </c>
      <c r="K574" s="95" t="n">
        <f>I574*(1+J574)</f>
        <v>6</v>
      </c>
      <c r="L574" s="96" t="n">
        <v>0.3</v>
      </c>
      <c r="M574" s="95" t="n">
        <f>K574*(1+L574)</f>
        <v>7.800000000000001</v>
      </c>
      <c r="N574" t="str">
        <v>Base interna retail</v>
      </c>
      <c r="O574" t="str">
        <v>Sin fecha indicada</v>
      </c>
      <c r="P574" s="97" t="str">
        <v>BASE INTERNA · fecha y alcance por verificar</v>
      </c>
      <c r="Q574" t="str">
        <v>ACABADOS Y GYPSUM</v>
      </c>
      <c r="R574" t="str">
        <v>estuco y pintura del perimetro actual planta baja</v>
      </c>
    </row>
    <row r="575">
      <c r="A575" t="str">
        <v>INT-0068</v>
      </c>
      <c r="B575" t="str">
        <v>ACABADOS Y GYPSUM</v>
      </c>
      <c r="C575" t="str">
        <v>FILA-90</v>
      </c>
      <c r="D575" s="97" t="str">
        <v>PINTURA PAREDES DE GYPSUM ACTUALES</v>
      </c>
      <c r="E575" t="str">
        <v>m²</v>
      </c>
      <c r="F575" s="95"/>
      <c r="G575" s="95"/>
      <c r="H575" s="95"/>
      <c r="I575" s="95" t="n">
        <v>6</v>
      </c>
      <c r="J575" s="96" t="n">
        <v>0</v>
      </c>
      <c r="K575" s="95" t="n">
        <f>I575*(1+J575)</f>
        <v>6</v>
      </c>
      <c r="L575" s="96" t="n">
        <v>0.3</v>
      </c>
      <c r="M575" s="95" t="n">
        <f>K575*(1+L575)</f>
        <v>7.800000000000001</v>
      </c>
      <c r="N575" t="str">
        <v>Base interna retail</v>
      </c>
      <c r="O575" t="str">
        <v>Sin fecha indicada</v>
      </c>
      <c r="P575" s="97" t="str">
        <v>BASE INTERNA · fecha y alcance por verificar</v>
      </c>
      <c r="Q575" t="str">
        <v>ACABADOS Y GYPSUM</v>
      </c>
      <c r="R575" t="str">
        <v>pintura paredes de gypsum actuales</v>
      </c>
    </row>
    <row r="576">
      <c r="A576" t="str">
        <v>INT-0069</v>
      </c>
      <c r="B576" t="str">
        <v>ACABADOS Y GYPSUM</v>
      </c>
      <c r="C576" t="str">
        <v>FILA-91</v>
      </c>
      <c r="D576" s="97" t="str">
        <v>PINTURA LOZA SEGUNDO PISO</v>
      </c>
      <c r="E576" t="str">
        <v>m²</v>
      </c>
      <c r="F576" s="95"/>
      <c r="G576" s="95"/>
      <c r="H576" s="95"/>
      <c r="I576" s="95" t="n">
        <v>6</v>
      </c>
      <c r="J576" s="96" t="n">
        <v>0</v>
      </c>
      <c r="K576" s="95" t="n">
        <f>I576*(1+J576)</f>
        <v>6</v>
      </c>
      <c r="L576" s="96" t="n">
        <v>0.3</v>
      </c>
      <c r="M576" s="95" t="n">
        <f>K576*(1+L576)</f>
        <v>7.800000000000001</v>
      </c>
      <c r="N576" t="str">
        <v>Base interna retail</v>
      </c>
      <c r="O576" t="str">
        <v>Sin fecha indicada</v>
      </c>
      <c r="P576" s="97" t="str">
        <v>BASE INTERNA · fecha y alcance por verificar</v>
      </c>
      <c r="Q576" t="str">
        <v>ACABADOS Y GYPSUM</v>
      </c>
      <c r="R576" t="str">
        <v>pintura loza segundo piso</v>
      </c>
    </row>
    <row r="577">
      <c r="A577" t="str">
        <v>INT-0070</v>
      </c>
      <c r="B577" t="str">
        <v>VARIOS, TRANSPORTE Y MONTAJE</v>
      </c>
      <c r="C577" t="str">
        <v>FILA-95</v>
      </c>
      <c r="D577" s="97" t="str">
        <v>DESMONTAJE DE MOBILIARIO DE LOCAL ACTUAL</v>
      </c>
      <c r="E577" t="str">
        <v>gl</v>
      </c>
      <c r="F577" s="95"/>
      <c r="G577" s="95"/>
      <c r="H577" s="95"/>
      <c r="I577" s="95" t="n">
        <v>800</v>
      </c>
      <c r="J577" s="96" t="n">
        <v>0</v>
      </c>
      <c r="K577" s="95" t="n">
        <f>I577*(1+J577)</f>
        <v>800</v>
      </c>
      <c r="L577" s="96" t="n">
        <v>0.3</v>
      </c>
      <c r="M577" s="95" t="n">
        <f>K577*(1+L577)</f>
        <v>1040</v>
      </c>
      <c r="N577" t="str">
        <v>Base interna retail</v>
      </c>
      <c r="O577" t="str">
        <v>Sin fecha indicada</v>
      </c>
      <c r="P577" s="97" t="str">
        <v>BASE INTERNA · fecha y alcance por verificar</v>
      </c>
      <c r="Q577" t="str">
        <v>OBRA CIVIL</v>
      </c>
      <c r="R577" t="str">
        <v>desmontaje de mobiliario de local actual</v>
      </c>
    </row>
    <row r="578">
      <c r="A578" t="str">
        <v>INT-0071</v>
      </c>
      <c r="B578" t="str">
        <v>ACABADOS Y GYPSUM</v>
      </c>
      <c r="C578" t="str">
        <v>FILA-96</v>
      </c>
      <c r="D578" s="97" t="str">
        <v>FUNDIDO DE CONTRAPISO PARA BAÑO</v>
      </c>
      <c r="E578" t="str">
        <v>m²</v>
      </c>
      <c r="F578" s="95"/>
      <c r="G578" s="95"/>
      <c r="H578" s="95"/>
      <c r="I578" s="95" t="n">
        <v>180</v>
      </c>
      <c r="J578" s="96" t="n">
        <v>0</v>
      </c>
      <c r="K578" s="95" t="n">
        <f>I578*(1+J578)</f>
        <v>180</v>
      </c>
      <c r="L578" s="96" t="n">
        <v>0.4</v>
      </c>
      <c r="M578" s="95" t="n">
        <f>K578*(1+L578)</f>
        <v>251.99999999999997</v>
      </c>
      <c r="N578" t="str">
        <v>Base interna retail</v>
      </c>
      <c r="O578" t="str">
        <v>Sin fecha indicada</v>
      </c>
      <c r="P578" s="97" t="str">
        <v>BASE INTERNA · fecha y alcance por verificar</v>
      </c>
      <c r="Q578" t="str">
        <v>OBRA CIVIL</v>
      </c>
      <c r="R578" t="str">
        <v>fundido de contrapiso para bano</v>
      </c>
    </row>
    <row r="579">
      <c r="A579" t="str">
        <v>INT-0072</v>
      </c>
      <c r="B579" t="str">
        <v>ACABADOS Y GYPSUM</v>
      </c>
      <c r="C579" t="str">
        <v>FILA-97</v>
      </c>
      <c r="D579" s="97" t="str">
        <v>MASILLADO DE PISO</v>
      </c>
      <c r="E579" t="str">
        <v>m²</v>
      </c>
      <c r="F579" s="95"/>
      <c r="G579" s="95"/>
      <c r="H579" s="95"/>
      <c r="I579" s="95" t="n">
        <v>11.4</v>
      </c>
      <c r="J579" s="96" t="n">
        <v>0</v>
      </c>
      <c r="K579" s="95" t="n">
        <f>I579*(1+J579)</f>
        <v>11.4</v>
      </c>
      <c r="L579" s="96" t="n">
        <v>0.3</v>
      </c>
      <c r="M579" s="95" t="n">
        <f>K579*(1+L579)</f>
        <v>14.82</v>
      </c>
      <c r="N579" t="str">
        <v>Base interna retail</v>
      </c>
      <c r="O579" t="str">
        <v>Sin fecha indicada</v>
      </c>
      <c r="P579" s="97" t="str">
        <v>BASE INTERNA · fecha y alcance por verificar</v>
      </c>
      <c r="Q579" t="str">
        <v>OBRA CIVIL</v>
      </c>
      <c r="R579" t="str">
        <v>masillado de piso</v>
      </c>
    </row>
    <row r="580">
      <c r="A580" t="str">
        <v>INT-0073</v>
      </c>
      <c r="B580" t="str">
        <v>MOBILIARIO Y MÓDULOS</v>
      </c>
      <c r="C580" t="str">
        <v>FILA-98</v>
      </c>
      <c r="D580" s="97" t="str">
        <v>PICADO PARA INSTALCIONES DE COUNTER</v>
      </c>
      <c r="E580" t="str">
        <v>mtl</v>
      </c>
      <c r="F580" s="95"/>
      <c r="G580" s="95"/>
      <c r="H580" s="95"/>
      <c r="I580" s="95" t="n">
        <v>10</v>
      </c>
      <c r="J580" s="96" t="n">
        <v>0</v>
      </c>
      <c r="K580" s="95" t="n">
        <f>I580*(1+J580)</f>
        <v>10</v>
      </c>
      <c r="L580" s="96" t="n">
        <v>0.3</v>
      </c>
      <c r="M580" s="95" t="n">
        <f>K580*(1+L580)</f>
        <v>13</v>
      </c>
      <c r="N580" t="str">
        <v>Base interna retail</v>
      </c>
      <c r="O580" t="str">
        <v>Sin fecha indicada</v>
      </c>
      <c r="P580" s="97" t="str">
        <v>BASE INTERNA · fecha y alcance por verificar</v>
      </c>
      <c r="Q580" t="str">
        <v>OBRA CIVIL</v>
      </c>
      <c r="R580" t="str">
        <v>picado para instalciones de counter</v>
      </c>
    </row>
    <row r="581">
      <c r="A581" t="str">
        <v>INT-0074</v>
      </c>
      <c r="B581" t="str">
        <v>OBRA CIVIL</v>
      </c>
      <c r="C581" t="str">
        <v>FILA-99</v>
      </c>
      <c r="D581" s="97" t="str">
        <v>DESAGUES DE AIRE ACONDICIONADO</v>
      </c>
      <c r="E581" t="str">
        <v>gl</v>
      </c>
      <c r="F581" s="95"/>
      <c r="G581" s="95"/>
      <c r="H581" s="95"/>
      <c r="I581" s="95" t="n">
        <v>200</v>
      </c>
      <c r="J581" s="96" t="n">
        <v>0</v>
      </c>
      <c r="K581" s="95" t="n">
        <f>I581*(1+J581)</f>
        <v>200</v>
      </c>
      <c r="L581" s="96" t="n">
        <v>0.3</v>
      </c>
      <c r="M581" s="95" t="n">
        <f>K581*(1+L581)</f>
        <v>260</v>
      </c>
      <c r="N581" t="str">
        <v>Base interna retail</v>
      </c>
      <c r="O581" t="str">
        <v>Sin fecha indicada</v>
      </c>
      <c r="P581" s="97" t="str">
        <v>BASE INTERNA · fecha y alcance por verificar</v>
      </c>
      <c r="Q581" t="str">
        <v>OBRA CIVIL</v>
      </c>
      <c r="R581" t="str">
        <v>desagues de aire acondicionado</v>
      </c>
    </row>
    <row r="582">
      <c r="A582" t="str">
        <v>INT-0075</v>
      </c>
      <c r="B582" t="str">
        <v>OBRA CIVIL</v>
      </c>
      <c r="C582" t="str">
        <v>FILA-100</v>
      </c>
      <c r="D582" s="97" t="str">
        <v>ANDAMIOS</v>
      </c>
      <c r="E582" t="str">
        <v>gl</v>
      </c>
      <c r="F582" s="95"/>
      <c r="G582" s="95"/>
      <c r="H582" s="95"/>
      <c r="I582" s="95" t="n">
        <v>120</v>
      </c>
      <c r="J582" s="96" t="n">
        <v>0</v>
      </c>
      <c r="K582" s="95" t="n">
        <f>I582*(1+J582)</f>
        <v>120</v>
      </c>
      <c r="L582" s="96" t="n">
        <v>0.3</v>
      </c>
      <c r="M582" s="95" t="n">
        <f>K582*(1+L582)</f>
        <v>156</v>
      </c>
      <c r="N582" t="str">
        <v>Base interna retail</v>
      </c>
      <c r="O582" t="str">
        <v>Sin fecha indicada</v>
      </c>
      <c r="P582" s="97" t="str">
        <v>BASE INTERNA · fecha y alcance por verificar</v>
      </c>
      <c r="Q582" t="str">
        <v>OBRA CIVIL</v>
      </c>
      <c r="R582" t="str">
        <v>andamios</v>
      </c>
    </row>
    <row r="583">
      <c r="A583" t="str">
        <v>INT-0076</v>
      </c>
      <c r="B583" t="str">
        <v>OBRA CIVIL</v>
      </c>
      <c r="C583" t="str">
        <v>FILA-101</v>
      </c>
      <c r="D583" s="97" t="str">
        <v>DESALOJO CERRAMIENTO</v>
      </c>
      <c r="E583" t="str">
        <v>gl</v>
      </c>
      <c r="F583" s="95"/>
      <c r="G583" s="95"/>
      <c r="H583" s="95"/>
      <c r="I583" s="95" t="n">
        <v>100</v>
      </c>
      <c r="J583" s="96" t="n">
        <v>0</v>
      </c>
      <c r="K583" s="95" t="n">
        <f>I583*(1+J583)</f>
        <v>100</v>
      </c>
      <c r="L583" s="96" t="n">
        <v>0.3</v>
      </c>
      <c r="M583" s="95" t="n">
        <f>K583*(1+L583)</f>
        <v>130</v>
      </c>
      <c r="N583" t="str">
        <v>Base interna retail</v>
      </c>
      <c r="O583" t="str">
        <v>Sin fecha indicada</v>
      </c>
      <c r="P583" s="97" t="str">
        <v>BASE INTERNA · fecha y alcance por verificar</v>
      </c>
      <c r="Q583" t="str">
        <v>OBRA CIVIL</v>
      </c>
      <c r="R583" t="str">
        <v>desalojo cerramiento</v>
      </c>
    </row>
    <row r="584">
      <c r="A584" t="str">
        <v>INT-0077</v>
      </c>
      <c r="B584" t="str">
        <v>OBRA CIVIL</v>
      </c>
      <c r="C584" t="str">
        <v>FILA-102</v>
      </c>
      <c r="D584" s="97" t="str">
        <v>PUNTOS DE AGUA POTABLE</v>
      </c>
      <c r="E584" t="str">
        <v>u</v>
      </c>
      <c r="F584" s="95"/>
      <c r="G584" s="95"/>
      <c r="H584" s="95"/>
      <c r="I584" s="95" t="n">
        <v>30</v>
      </c>
      <c r="J584" s="96" t="n">
        <v>0</v>
      </c>
      <c r="K584" s="95" t="n">
        <f>I584*(1+J584)</f>
        <v>30</v>
      </c>
      <c r="L584" s="96" t="n">
        <v>0.3</v>
      </c>
      <c r="M584" s="95" t="n">
        <f>K584*(1+L584)</f>
        <v>39</v>
      </c>
      <c r="N584" t="str">
        <v>Base interna retail</v>
      </c>
      <c r="O584" t="str">
        <v>Sin fecha indicada</v>
      </c>
      <c r="P584" s="97" t="str">
        <v>BASE INTERNA · fecha y alcance por verificar</v>
      </c>
      <c r="Q584" t="str">
        <v>OBRA CIVIL</v>
      </c>
      <c r="R584" t="str">
        <v>puntos de agua potable</v>
      </c>
    </row>
    <row r="585">
      <c r="A585" t="str">
        <v>INT-0078</v>
      </c>
      <c r="B585" t="str">
        <v>OBRA CIVIL</v>
      </c>
      <c r="C585" t="str">
        <v>FILA-103</v>
      </c>
      <c r="D585" s="97" t="str">
        <v>PUNTOS DE DESAGUE (NODORO Y LAVAMANOS)</v>
      </c>
      <c r="E585" t="str">
        <v>u</v>
      </c>
      <c r="F585" s="95"/>
      <c r="G585" s="95"/>
      <c r="H585" s="95"/>
      <c r="I585" s="95" t="n">
        <v>30</v>
      </c>
      <c r="J585" s="96" t="n">
        <v>0</v>
      </c>
      <c r="K585" s="95" t="n">
        <f>I585*(1+J585)</f>
        <v>30</v>
      </c>
      <c r="L585" s="96" t="n">
        <v>0.3</v>
      </c>
      <c r="M585" s="95" t="n">
        <f>K585*(1+L585)</f>
        <v>39</v>
      </c>
      <c r="N585" t="str">
        <v>Base interna retail</v>
      </c>
      <c r="O585" t="str">
        <v>Sin fecha indicada</v>
      </c>
      <c r="P585" s="97" t="str">
        <v>BASE INTERNA · fecha y alcance por verificar</v>
      </c>
      <c r="Q585" t="str">
        <v>OBRA CIVIL</v>
      </c>
      <c r="R585" t="str">
        <v>puntos de desague (nodoro y lavamanos)</v>
      </c>
    </row>
    <row r="586">
      <c r="A586" t="str">
        <v>INT-0079</v>
      </c>
      <c r="B586" t="str">
        <v>OBRA CIVIL</v>
      </c>
      <c r="C586" t="str">
        <v>FILA-104</v>
      </c>
      <c r="D586" s="97" t="str">
        <v>PUNTO DE DESGUE AIRE ACONDICIONADO</v>
      </c>
      <c r="E586" t="str">
        <v>u</v>
      </c>
      <c r="F586" s="95"/>
      <c r="G586" s="95"/>
      <c r="H586" s="95"/>
      <c r="I586" s="95" t="n">
        <v>80</v>
      </c>
      <c r="J586" s="96" t="n">
        <v>0</v>
      </c>
      <c r="K586" s="95" t="n">
        <f>I586*(1+J586)</f>
        <v>80</v>
      </c>
      <c r="L586" s="96" t="n">
        <v>0.3</v>
      </c>
      <c r="M586" s="95" t="n">
        <f>K586*(1+L586)</f>
        <v>104</v>
      </c>
      <c r="N586" t="str">
        <v>Base interna retail</v>
      </c>
      <c r="O586" t="str">
        <v>Sin fecha indicada</v>
      </c>
      <c r="P586" s="97" t="str">
        <v>BASE INTERNA · fecha y alcance por verificar</v>
      </c>
      <c r="Q586" t="str">
        <v>OBRA CIVIL</v>
      </c>
      <c r="R586" t="str">
        <v>punto de desgue aire acondicionado</v>
      </c>
    </row>
    <row r="587">
      <c r="A587" t="str">
        <v>INT-0080</v>
      </c>
      <c r="B587" t="str">
        <v>OBRA CIVIL</v>
      </c>
      <c r="C587" t="str">
        <v>FILA-105</v>
      </c>
      <c r="D587" s="97" t="str">
        <v>SUMINISTRO DE TUBERIA DE AGUA POTABLE , DESAGUE Y VALVULA DE CONTROL</v>
      </c>
      <c r="E587" t="str">
        <v>u</v>
      </c>
      <c r="F587" s="95"/>
      <c r="G587" s="95"/>
      <c r="H587" s="95"/>
      <c r="I587" s="95" t="n">
        <v>120</v>
      </c>
      <c r="J587" s="96" t="n">
        <v>0</v>
      </c>
      <c r="K587" s="95" t="n">
        <f>I587*(1+J587)</f>
        <v>120</v>
      </c>
      <c r="L587" s="96" t="n">
        <v>0.3</v>
      </c>
      <c r="M587" s="95" t="n">
        <f>K587*(1+L587)</f>
        <v>156</v>
      </c>
      <c r="N587" t="str">
        <v>Base interna retail</v>
      </c>
      <c r="O587" t="str">
        <v>Sin fecha indicada</v>
      </c>
      <c r="P587" s="97" t="str">
        <v>BASE INTERNA · fecha y alcance por verificar</v>
      </c>
      <c r="Q587" t="str">
        <v>OBRA CIVIL</v>
      </c>
      <c r="R587" t="str">
        <v>suministro de tuberia de agua potable , desague y valvula de control</v>
      </c>
    </row>
    <row r="588">
      <c r="A588" t="str">
        <v>INT-0081</v>
      </c>
      <c r="B588" t="str">
        <v>OBRA CIVIL</v>
      </c>
      <c r="C588" t="str">
        <v>FILA-106</v>
      </c>
      <c r="D588" s="97" t="str">
        <v>INSTALACCION DE PIEZAS SANITARIAS</v>
      </c>
      <c r="E588" t="str">
        <v>u</v>
      </c>
      <c r="F588" s="95"/>
      <c r="G588" s="95"/>
      <c r="H588" s="95"/>
      <c r="I588" s="95" t="n">
        <v>35</v>
      </c>
      <c r="J588" s="96" t="n">
        <v>0</v>
      </c>
      <c r="K588" s="95" t="n">
        <f>I588*(1+J588)</f>
        <v>35</v>
      </c>
      <c r="L588" s="96" t="n">
        <v>0.3</v>
      </c>
      <c r="M588" s="95" t="n">
        <f>K588*(1+L588)</f>
        <v>45.5</v>
      </c>
      <c r="N588" t="str">
        <v>Base interna retail</v>
      </c>
      <c r="O588" t="str">
        <v>Sin fecha indicada</v>
      </c>
      <c r="P588" s="97" t="str">
        <v>BASE INTERNA · fecha y alcance por verificar</v>
      </c>
      <c r="Q588" t="str">
        <v>OBRA CIVIL</v>
      </c>
      <c r="R588" t="str">
        <v>instalaccion de piezas sanitarias</v>
      </c>
    </row>
    <row r="589">
      <c r="A589" t="str">
        <v>INT-0082</v>
      </c>
      <c r="B589" t="str">
        <v>OBRA CIVIL</v>
      </c>
      <c r="C589" t="str">
        <v>FILA-107</v>
      </c>
      <c r="D589" s="97" t="str">
        <v>BAÑO COMPLETO</v>
      </c>
      <c r="E589" t="str">
        <v>u</v>
      </c>
      <c r="F589" s="95"/>
      <c r="G589" s="95"/>
      <c r="H589" s="95"/>
      <c r="I589" s="95" t="n">
        <v>229.16</v>
      </c>
      <c r="J589" s="96" t="n">
        <v>0</v>
      </c>
      <c r="K589" s="95" t="n">
        <f>I589*(1+J589)</f>
        <v>229.16</v>
      </c>
      <c r="L589" s="96" t="n">
        <v>0.3</v>
      </c>
      <c r="M589" s="95" t="n">
        <f>K589*(1+L589)</f>
        <v>297.908</v>
      </c>
      <c r="N589" t="str">
        <v>Base interna retail</v>
      </c>
      <c r="O589" t="str">
        <v>Sin fecha indicada</v>
      </c>
      <c r="P589" s="97" t="str">
        <v>BASE INTERNA · fecha y alcance por verificar</v>
      </c>
      <c r="Q589" t="str">
        <v>OBRA CIVIL</v>
      </c>
      <c r="R589" t="str">
        <v>bano completo</v>
      </c>
    </row>
    <row r="590">
      <c r="A590" t="str">
        <v>INT-0083</v>
      </c>
      <c r="B590" t="str">
        <v>VARIOS, TRANSPORTE Y MONTAJE</v>
      </c>
      <c r="C590" t="str">
        <v>FILA-108</v>
      </c>
      <c r="D590" s="97" t="str">
        <v>TRANSPORTES INTERNOS</v>
      </c>
      <c r="E590" t="str">
        <v>gl</v>
      </c>
      <c r="F590" s="95"/>
      <c r="G590" s="95"/>
      <c r="H590" s="95"/>
      <c r="I590" s="95" t="n">
        <v>60</v>
      </c>
      <c r="J590" s="96" t="n">
        <v>0</v>
      </c>
      <c r="K590" s="95" t="n">
        <f>I590*(1+J590)</f>
        <v>60</v>
      </c>
      <c r="L590" s="96" t="n">
        <v>0.3</v>
      </c>
      <c r="M590" s="95" t="n">
        <f>K590*(1+L590)</f>
        <v>78</v>
      </c>
      <c r="N590" t="str">
        <v>Base interna retail</v>
      </c>
      <c r="O590" t="str">
        <v>Sin fecha indicada</v>
      </c>
      <c r="P590" s="97" t="str">
        <v>BASE INTERNA · fecha y alcance por verificar</v>
      </c>
      <c r="Q590" t="str">
        <v>OBRA CIVIL</v>
      </c>
      <c r="R590" t="str">
        <v>transportes internos</v>
      </c>
    </row>
    <row r="591">
      <c r="A591" t="str">
        <v>INT-0084</v>
      </c>
      <c r="B591" t="str">
        <v>OBRA CIVIL</v>
      </c>
      <c r="C591" t="str">
        <v>FILA-109</v>
      </c>
      <c r="D591" s="97" t="str">
        <v>PINTUTA DE CASETONES</v>
      </c>
      <c r="E591" t="str">
        <v>m²</v>
      </c>
      <c r="F591" s="95"/>
      <c r="G591" s="95"/>
      <c r="H591" s="95"/>
      <c r="I591" s="95" t="n">
        <v>8</v>
      </c>
      <c r="J591" s="96" t="n">
        <v>0</v>
      </c>
      <c r="K591" s="95" t="n">
        <f>I591*(1+J591)</f>
        <v>8</v>
      </c>
      <c r="L591" s="96" t="n">
        <v>0.3</v>
      </c>
      <c r="M591" s="95" t="n">
        <f>K591*(1+L591)</f>
        <v>10.4</v>
      </c>
      <c r="N591" t="str">
        <v>Base interna retail</v>
      </c>
      <c r="O591" t="str">
        <v>Sin fecha indicada</v>
      </c>
      <c r="P591" s="97" t="str">
        <v>BASE INTERNA · fecha y alcance por verificar</v>
      </c>
      <c r="Q591" t="str">
        <v>OBRA CIVIL</v>
      </c>
      <c r="R591" t="str">
        <v>pintuta de casetones</v>
      </c>
    </row>
    <row r="592">
      <c r="A592" t="str">
        <v>INT-0085</v>
      </c>
      <c r="B592" t="str">
        <v>ACABADOS Y GYPSUM</v>
      </c>
      <c r="C592" t="str">
        <v>FILA-110</v>
      </c>
      <c r="D592" s="97" t="str">
        <v>PINTURA DE PLACA COLABORANTE O DECK</v>
      </c>
      <c r="E592" t="str">
        <v>m²</v>
      </c>
      <c r="F592" s="95"/>
      <c r="G592" s="95"/>
      <c r="H592" s="95"/>
      <c r="I592" s="95" t="n">
        <v>8</v>
      </c>
      <c r="J592" s="96" t="n">
        <v>0</v>
      </c>
      <c r="K592" s="95" t="n">
        <f>I592*(1+J592)</f>
        <v>8</v>
      </c>
      <c r="L592" s="96" t="n">
        <v>0.3</v>
      </c>
      <c r="M592" s="95" t="n">
        <f>K592*(1+L592)</f>
        <v>10.4</v>
      </c>
      <c r="N592" t="str">
        <v>Base interna retail</v>
      </c>
      <c r="O592" t="str">
        <v>Sin fecha indicada</v>
      </c>
      <c r="P592" s="97" t="str">
        <v>BASE INTERNA · fecha y alcance por verificar</v>
      </c>
      <c r="Q592" t="str">
        <v>OBRA CIVIL</v>
      </c>
      <c r="R592" t="str">
        <v>pintura de placa colaborante o deck</v>
      </c>
    </row>
    <row r="593">
      <c r="A593" t="str">
        <v>INT-0086</v>
      </c>
      <c r="B593" t="str">
        <v>ACABADOS Y GYPSUM</v>
      </c>
      <c r="C593" t="str">
        <v>FILA-111</v>
      </c>
      <c r="D593" s="97" t="str">
        <v>PINTURA DE PARED DE BLOQUE</v>
      </c>
      <c r="E593" t="str">
        <v>m²</v>
      </c>
      <c r="F593" s="95"/>
      <c r="G593" s="95"/>
      <c r="H593" s="95"/>
      <c r="I593" s="95" t="n">
        <v>3.5</v>
      </c>
      <c r="J593" s="96" t="n">
        <v>0</v>
      </c>
      <c r="K593" s="95" t="n">
        <f>I593*(1+J593)</f>
        <v>3.5</v>
      </c>
      <c r="L593" s="96" t="n">
        <v>0.3</v>
      </c>
      <c r="M593" s="95" t="n">
        <f>K593*(1+L593)</f>
        <v>4.55</v>
      </c>
      <c r="N593" t="str">
        <v>Base interna retail</v>
      </c>
      <c r="O593" t="str">
        <v>Sin fecha indicada</v>
      </c>
      <c r="P593" s="97" t="str">
        <v>BASE INTERNA · fecha y alcance por verificar</v>
      </c>
      <c r="Q593" t="str">
        <v>OBRA CIVIL</v>
      </c>
      <c r="R593" t="str">
        <v>pintura de pared de bloque</v>
      </c>
    </row>
    <row r="594">
      <c r="A594" t="str">
        <v>INT-0087</v>
      </c>
      <c r="B594" t="str">
        <v>ACABADOS Y GYPSUM</v>
      </c>
      <c r="C594" t="str">
        <v>FILA-112</v>
      </c>
      <c r="D594" s="97" t="str">
        <v>ESTUCO Y PINTURA DEL PERIMETRO ACTUAL</v>
      </c>
      <c r="E594" t="str">
        <v>m²</v>
      </c>
      <c r="F594" s="95"/>
      <c r="G594" s="95"/>
      <c r="H594" s="95"/>
      <c r="I594" s="95" t="n">
        <v>8</v>
      </c>
      <c r="J594" s="96" t="n">
        <v>0</v>
      </c>
      <c r="K594" s="95" t="n">
        <f>I594*(1+J594)</f>
        <v>8</v>
      </c>
      <c r="L594" s="96" t="n">
        <v>0.3</v>
      </c>
      <c r="M594" s="95" t="n">
        <f>K594*(1+L594)</f>
        <v>10.4</v>
      </c>
      <c r="N594" t="str">
        <v>Base interna retail</v>
      </c>
      <c r="O594" t="str">
        <v>Sin fecha indicada</v>
      </c>
      <c r="P594" s="97" t="str">
        <v>BASE INTERNA · fecha y alcance por verificar</v>
      </c>
      <c r="Q594" t="str">
        <v>OBRA CIVIL</v>
      </c>
      <c r="R594" t="str">
        <v>estuco y pintura del perimetro actual</v>
      </c>
    </row>
    <row r="595">
      <c r="A595" t="str">
        <v>INT-0088</v>
      </c>
      <c r="B595" t="str">
        <v>OBRA CIVIL</v>
      </c>
      <c r="C595" t="str">
        <v>FILA-113</v>
      </c>
      <c r="D595" s="97" t="str">
        <v>ESCALERAS METALICAS</v>
      </c>
      <c r="E595" t="str">
        <v>gl</v>
      </c>
      <c r="F595" s="95"/>
      <c r="G595" s="95"/>
      <c r="H595" s="95"/>
      <c r="I595" s="95" t="n">
        <v>1200</v>
      </c>
      <c r="J595" s="96" t="n">
        <v>0</v>
      </c>
      <c r="K595" s="95" t="n">
        <f>I595*(1+J595)</f>
        <v>1200</v>
      </c>
      <c r="L595" s="96" t="n">
        <v>0.3</v>
      </c>
      <c r="M595" s="95" t="n">
        <f>K595*(1+L595)</f>
        <v>1560</v>
      </c>
      <c r="N595" t="str">
        <v>Base interna retail</v>
      </c>
      <c r="O595" t="str">
        <v>Sin fecha indicada</v>
      </c>
      <c r="P595" s="97" t="str">
        <v>BASE INTERNA · fecha y alcance por verificar</v>
      </c>
      <c r="Q595" t="str">
        <v>OBRA CIVIL</v>
      </c>
      <c r="R595" t="str">
        <v>escaleras metalicas</v>
      </c>
    </row>
    <row r="596">
      <c r="A596" t="str">
        <v>INT-0089</v>
      </c>
      <c r="B596" t="str">
        <v>OBRA CIVIL</v>
      </c>
      <c r="C596" t="str">
        <v>FILA-114</v>
      </c>
      <c r="D596" s="97" t="str">
        <v>DESALOJOS DE ESCOMBROS VARIOS</v>
      </c>
      <c r="E596" t="str">
        <v>gl</v>
      </c>
      <c r="F596" s="95"/>
      <c r="G596" s="95"/>
      <c r="H596" s="95"/>
      <c r="I596" s="95" t="n">
        <v>120</v>
      </c>
      <c r="J596" s="96" t="n">
        <v>0</v>
      </c>
      <c r="K596" s="95" t="n">
        <f>I596*(1+J596)</f>
        <v>120</v>
      </c>
      <c r="L596" s="96" t="n">
        <v>0.3</v>
      </c>
      <c r="M596" s="95" t="n">
        <f>K596*(1+L596)</f>
        <v>156</v>
      </c>
      <c r="N596" t="str">
        <v>Base interna retail</v>
      </c>
      <c r="O596" t="str">
        <v>Sin fecha indicada</v>
      </c>
      <c r="P596" s="97" t="str">
        <v>BASE INTERNA · fecha y alcance por verificar</v>
      </c>
      <c r="Q596" t="str">
        <v>OBRA CIVIL</v>
      </c>
      <c r="R596" t="str">
        <v>desalojos de escombros varios</v>
      </c>
    </row>
    <row r="597">
      <c r="A597" t="str">
        <v>INT-0090</v>
      </c>
      <c r="B597" t="str">
        <v>VARIOS, TRANSPORTE Y MONTAJE</v>
      </c>
      <c r="C597" t="str">
        <v>FILA-115</v>
      </c>
      <c r="D597" s="97" t="str">
        <v>VIATICOS OBREROS PARA INSTALAR ESCALERA</v>
      </c>
      <c r="E597" t="str">
        <v>gl</v>
      </c>
      <c r="F597" s="95"/>
      <c r="G597" s="95"/>
      <c r="H597" s="95"/>
      <c r="I597" s="95" t="n">
        <v>300</v>
      </c>
      <c r="J597" s="96" t="n">
        <v>0</v>
      </c>
      <c r="K597" s="95" t="n">
        <f>I597*(1+J597)</f>
        <v>300</v>
      </c>
      <c r="L597" s="96" t="n">
        <v>0.3</v>
      </c>
      <c r="M597" s="95" t="n">
        <f>K597*(1+L597)</f>
        <v>390</v>
      </c>
      <c r="N597" t="str">
        <v>Base interna retail</v>
      </c>
      <c r="O597" t="str">
        <v>Sin fecha indicada</v>
      </c>
      <c r="P597" s="97" t="str">
        <v>BASE INTERNA · fecha y alcance por verificar</v>
      </c>
      <c r="Q597" t="str">
        <v>OBRA CIVIL</v>
      </c>
      <c r="R597" t="str">
        <v>viaticos obreros para instalar escalera</v>
      </c>
    </row>
    <row r="598">
      <c r="A598" t="str">
        <v>INT-0091</v>
      </c>
      <c r="B598" t="str">
        <v>ACABADOS Y GYPSUM</v>
      </c>
      <c r="C598" t="str">
        <v>FILA-126</v>
      </c>
      <c r="D598" s="97" t="str">
        <v>INSTALACIÓN PISO FLOTANTE</v>
      </c>
      <c r="E598" t="str">
        <v>m²</v>
      </c>
      <c r="F598" s="95"/>
      <c r="G598" s="95"/>
      <c r="H598" s="95"/>
      <c r="I598" s="95" t="n">
        <v>18</v>
      </c>
      <c r="J598" s="96" t="n">
        <v>0</v>
      </c>
      <c r="K598" s="95" t="n">
        <f>I598*(1+J598)</f>
        <v>18</v>
      </c>
      <c r="L598" s="96" t="n">
        <v>0.4</v>
      </c>
      <c r="M598" s="95" t="n">
        <f>K598*(1+L598)</f>
        <v>25.2</v>
      </c>
      <c r="N598" t="str">
        <v>Base interna retail</v>
      </c>
      <c r="O598" t="str">
        <v>Sin fecha indicada</v>
      </c>
      <c r="P598" s="97" t="str">
        <v>BASE INTERNA · fecha y alcance por verificar</v>
      </c>
      <c r="Q598" t="str">
        <v>PISOS</v>
      </c>
      <c r="R598" t="str">
        <v>instalacion piso flotante</v>
      </c>
    </row>
    <row r="599">
      <c r="A599" t="str">
        <v>INT-0092</v>
      </c>
      <c r="B599" t="str">
        <v>ACABADOS Y GYPSUM</v>
      </c>
      <c r="C599" t="str">
        <v>FILA-127</v>
      </c>
      <c r="D599" s="97" t="str">
        <v>BARREDERAS</v>
      </c>
      <c r="E599" t="str">
        <v>mtl</v>
      </c>
      <c r="F599" s="95"/>
      <c r="G599" s="95"/>
      <c r="H599" s="95"/>
      <c r="I599" s="95" t="n">
        <v>4.5</v>
      </c>
      <c r="J599" s="96" t="n">
        <v>0</v>
      </c>
      <c r="K599" s="95" t="n">
        <f>I599*(1+J599)</f>
        <v>4.5</v>
      </c>
      <c r="L599" s="96" t="n">
        <v>0.3</v>
      </c>
      <c r="M599" s="95" t="n">
        <f>K599*(1+L599)</f>
        <v>5.8500000000000005</v>
      </c>
      <c r="N599" t="str">
        <v>Base interna retail</v>
      </c>
      <c r="O599" t="str">
        <v>Sin fecha indicada</v>
      </c>
      <c r="P599" s="97" t="str">
        <v>BASE INTERNA · fecha y alcance por verificar</v>
      </c>
      <c r="Q599" t="str">
        <v>PISOS</v>
      </c>
      <c r="R599" t="str">
        <v>barrederas</v>
      </c>
    </row>
    <row r="600">
      <c r="A600" t="str">
        <v>INT-0093</v>
      </c>
      <c r="B600" t="str">
        <v>ACABADOS Y GYPSUM</v>
      </c>
      <c r="C600" t="str">
        <v>FILA-128</v>
      </c>
      <c r="D600" s="97" t="str">
        <v>CAMBIO DE NIVEL</v>
      </c>
      <c r="E600" t="str">
        <v>mtl</v>
      </c>
      <c r="F600" s="95"/>
      <c r="G600" s="95"/>
      <c r="H600" s="95"/>
      <c r="I600" s="95" t="n">
        <v>6</v>
      </c>
      <c r="J600" s="96" t="n">
        <v>0</v>
      </c>
      <c r="K600" s="95" t="n">
        <f>I600*(1+J600)</f>
        <v>6</v>
      </c>
      <c r="L600" s="96" t="n">
        <v>1.3</v>
      </c>
      <c r="M600" s="95" t="n">
        <f>K600*(1+L600)</f>
        <v>13.799999999999999</v>
      </c>
      <c r="N600" t="str">
        <v>Base interna retail</v>
      </c>
      <c r="O600" t="str">
        <v>Sin fecha indicada</v>
      </c>
      <c r="P600" s="97" t="str">
        <v>BASE INTERNA · fecha y alcance por verificar</v>
      </c>
      <c r="Q600" t="str">
        <v>PISOS</v>
      </c>
      <c r="R600" t="str">
        <v>cambio de nivel</v>
      </c>
    </row>
    <row r="601">
      <c r="A601" t="str">
        <v>INT-0094</v>
      </c>
      <c r="B601" t="str">
        <v>ACABADOS Y GYPSUM</v>
      </c>
      <c r="C601" t="str">
        <v>FILA-129</v>
      </c>
      <c r="D601" s="97" t="str">
        <v>INSTALACION DE PORCELANATO EN BAÑOS SOLO PISO</v>
      </c>
      <c r="E601" t="str">
        <v>m²</v>
      </c>
      <c r="F601" s="95"/>
      <c r="G601" s="95"/>
      <c r="H601" s="95"/>
      <c r="I601" s="95" t="n">
        <v>30</v>
      </c>
      <c r="J601" s="96" t="n">
        <v>0</v>
      </c>
      <c r="K601" s="95" t="n">
        <f>I601*(1+J601)</f>
        <v>30</v>
      </c>
      <c r="L601" s="96" t="n">
        <v>0.3</v>
      </c>
      <c r="M601" s="95" t="n">
        <f>K601*(1+L601)</f>
        <v>39</v>
      </c>
      <c r="N601" t="str">
        <v>Base interna retail</v>
      </c>
      <c r="O601" t="str">
        <v>Sin fecha indicada</v>
      </c>
      <c r="P601" s="97" t="str">
        <v>BASE INTERNA · fecha y alcance por verificar</v>
      </c>
      <c r="Q601" t="str">
        <v>PISOS</v>
      </c>
      <c r="R601" t="str">
        <v>instalacion de porcelanato en banos solo piso</v>
      </c>
    </row>
    <row r="602">
      <c r="A602" t="str">
        <v>INT-0095</v>
      </c>
      <c r="B602" t="str">
        <v>ACABADOS Y GYPSUM</v>
      </c>
      <c r="C602" t="str">
        <v>FILA-130</v>
      </c>
      <c r="D602" s="97" t="str">
        <v>INSTALACION MEDIA ALTURA DE PORCELANATO EN BAÑOS</v>
      </c>
      <c r="E602" t="str">
        <v>m²</v>
      </c>
      <c r="F602" s="95"/>
      <c r="G602" s="95"/>
      <c r="H602" s="95"/>
      <c r="I602" s="95" t="n">
        <v>30</v>
      </c>
      <c r="J602" s="96" t="n">
        <v>0</v>
      </c>
      <c r="K602" s="95" t="n">
        <f>I602*(1+J602)</f>
        <v>30</v>
      </c>
      <c r="L602" s="96" t="n">
        <v>0.3</v>
      </c>
      <c r="M602" s="95" t="n">
        <f>K602*(1+L602)</f>
        <v>39</v>
      </c>
      <c r="N602" t="str">
        <v>Base interna retail</v>
      </c>
      <c r="O602" t="str">
        <v>Sin fecha indicada</v>
      </c>
      <c r="P602" s="97" t="str">
        <v>BASE INTERNA · fecha y alcance por verificar</v>
      </c>
      <c r="Q602" t="str">
        <v>PISOS</v>
      </c>
      <c r="R602" t="str">
        <v>instalacion media altura de porcelanato en banos</v>
      </c>
    </row>
    <row r="603">
      <c r="A603" t="str">
        <v>INT-0096</v>
      </c>
      <c r="B603" t="str">
        <v>ILUMINACIÓN</v>
      </c>
      <c r="C603" t="str">
        <v>FILA-137</v>
      </c>
      <c r="D603" s="97" t="str">
        <v>DESMONTAJE CABLEADO Y LUMINARIAS LOCAL ACTUAL</v>
      </c>
      <c r="E603" t="str">
        <v>gl</v>
      </c>
      <c r="F603" s="95"/>
      <c r="G603" s="95"/>
      <c r="H603" s="95"/>
      <c r="I603" s="95" t="n">
        <v>150</v>
      </c>
      <c r="J603" s="96" t="n">
        <v>0</v>
      </c>
      <c r="K603" s="95" t="n">
        <f>I603*(1+J603)</f>
        <v>150</v>
      </c>
      <c r="L603" s="96" t="n">
        <v>0.3</v>
      </c>
      <c r="M603" s="95" t="n">
        <f>K603*(1+L603)</f>
        <v>195</v>
      </c>
      <c r="N603" t="str">
        <v>Base interna retail</v>
      </c>
      <c r="O603" t="str">
        <v>Sin fecha indicada</v>
      </c>
      <c r="P603" s="97" t="str">
        <v>BASE INTERNA · fecha y alcance por verificar</v>
      </c>
      <c r="Q603" t="str">
        <v>ILUMINACION</v>
      </c>
      <c r="R603" t="str">
        <v>desmontaje cableado y luminarias local actual</v>
      </c>
    </row>
    <row r="604">
      <c r="A604" t="str">
        <v>INT-0097</v>
      </c>
      <c r="B604" t="str">
        <v>ILUMINACIÓN</v>
      </c>
      <c r="C604" t="str">
        <v>FILA-138</v>
      </c>
      <c r="D604" s="97" t="str">
        <v>COLOCACION DE SPOTS 30 W CON RIELES (LUZ DIRIGIDA) CON EQUIPO</v>
      </c>
      <c r="E604" t="str">
        <v>u</v>
      </c>
      <c r="F604" s="95"/>
      <c r="G604" s="95"/>
      <c r="H604" s="95"/>
      <c r="I604" s="95" t="n">
        <v>28.99</v>
      </c>
      <c r="J604" s="96" t="n">
        <v>0</v>
      </c>
      <c r="K604" s="95" t="n">
        <f>I604*(1+J604)</f>
        <v>28.99</v>
      </c>
      <c r="L604" s="96" t="n">
        <v>0</v>
      </c>
      <c r="M604" s="95" t="n">
        <f>K604*(1+L604)</f>
        <v>28.99</v>
      </c>
      <c r="N604" t="str">
        <v>Base interna retail</v>
      </c>
      <c r="O604" t="str">
        <v>Sin fecha indicada</v>
      </c>
      <c r="P604" s="97" t="str">
        <v>BASE INTERNA · fecha y alcance por verificar</v>
      </c>
      <c r="Q604" t="str">
        <v>ILUMINACION</v>
      </c>
      <c r="R604" t="str">
        <v>colocacion de spots 30 w con rieles (luz dirigida) con equipo</v>
      </c>
    </row>
    <row r="605">
      <c r="A605" t="str">
        <v>INT-0098</v>
      </c>
      <c r="B605" t="str">
        <v>ILUMINACIÓN</v>
      </c>
      <c r="C605" t="str">
        <v>FILA-139</v>
      </c>
      <c r="D605" s="97" t="str">
        <v>COLOCACION DE OJO DE BUEY 30 W (LUZ GENERAL) CON EQUIPO</v>
      </c>
      <c r="E605" t="str">
        <v>u</v>
      </c>
      <c r="F605" s="95"/>
      <c r="G605" s="95"/>
      <c r="H605" s="95"/>
      <c r="I605" s="95" t="n">
        <v>34.5</v>
      </c>
      <c r="J605" s="96" t="n">
        <v>0</v>
      </c>
      <c r="K605" s="95" t="n">
        <f>I605*(1+J605)</f>
        <v>34.5</v>
      </c>
      <c r="L605" s="96" t="n">
        <v>0.3</v>
      </c>
      <c r="M605" s="95" t="n">
        <f>K605*(1+L605)</f>
        <v>44.85</v>
      </c>
      <c r="N605" t="str">
        <v>Base interna retail</v>
      </c>
      <c r="O605" t="str">
        <v>Sin fecha indicada</v>
      </c>
      <c r="P605" s="97" t="str">
        <v>BASE INTERNA · fecha y alcance por verificar</v>
      </c>
      <c r="Q605" t="str">
        <v>ILUMINACION</v>
      </c>
      <c r="R605" t="str">
        <v>colocacion de ojo de buey 30 w (luz general) con equipo</v>
      </c>
    </row>
    <row r="606">
      <c r="A606" t="str">
        <v>INT-0099</v>
      </c>
      <c r="B606" t="str">
        <v>ILUMINACIÓN</v>
      </c>
      <c r="C606" t="str">
        <v>FILA-140</v>
      </c>
      <c r="D606" s="97" t="str">
        <v>COLOCACION DE OJO DE BUEY 18 W (LUZ GENERAL) CON EQUIPO</v>
      </c>
      <c r="E606" t="str">
        <v>u</v>
      </c>
      <c r="F606" s="95"/>
      <c r="G606" s="95"/>
      <c r="H606" s="95"/>
      <c r="I606" s="95" t="n">
        <v>17</v>
      </c>
      <c r="J606" s="96" t="n">
        <v>0</v>
      </c>
      <c r="K606" s="95" t="n">
        <f>I606*(1+J606)</f>
        <v>17</v>
      </c>
      <c r="L606" s="96" t="n">
        <v>0.3</v>
      </c>
      <c r="M606" s="95" t="n">
        <f>K606*(1+L606)</f>
        <v>22.1</v>
      </c>
      <c r="N606" t="str">
        <v>Base interna retail</v>
      </c>
      <c r="O606" t="str">
        <v>Sin fecha indicada</v>
      </c>
      <c r="P606" s="97" t="str">
        <v>BASE INTERNA · fecha y alcance por verificar</v>
      </c>
      <c r="Q606" t="str">
        <v>ILUMINACION</v>
      </c>
      <c r="R606" t="str">
        <v>colocacion de ojo de buey 18 w (luz general) con equipo</v>
      </c>
    </row>
    <row r="607">
      <c r="A607" t="str">
        <v>INT-0100</v>
      </c>
      <c r="B607" t="str">
        <v>ILUMINACIÓN</v>
      </c>
      <c r="C607" t="str">
        <v>FILA-141</v>
      </c>
      <c r="D607" s="97" t="str">
        <v>INSTALACION TABLERO ELECTRICO DE BREAKERS</v>
      </c>
      <c r="E607" t="str">
        <v>gl</v>
      </c>
      <c r="F607" s="95"/>
      <c r="G607" s="95"/>
      <c r="H607" s="95"/>
      <c r="I607" s="95" t="n">
        <v>30</v>
      </c>
      <c r="J607" s="96" t="n">
        <v>0</v>
      </c>
      <c r="K607" s="95" t="n">
        <f>I607*(1+J607)</f>
        <v>30</v>
      </c>
      <c r="L607" s="96" t="n">
        <v>0.3</v>
      </c>
      <c r="M607" s="95" t="n">
        <f>K607*(1+L607)</f>
        <v>39</v>
      </c>
      <c r="N607" t="str">
        <v>Base interna retail</v>
      </c>
      <c r="O607" t="str">
        <v>Sin fecha indicada</v>
      </c>
      <c r="P607" s="97" t="str">
        <v>BASE INTERNA · fecha y alcance por verificar</v>
      </c>
      <c r="Q607" t="str">
        <v>ILUMINACION</v>
      </c>
      <c r="R607" t="str">
        <v>instalacion tablero electrico de breakers</v>
      </c>
    </row>
    <row r="608">
      <c r="A608" t="str">
        <v>INT-0101</v>
      </c>
      <c r="B608" t="str">
        <v>ILUMINACIÓN</v>
      </c>
      <c r="C608" t="str">
        <v>FILA-142</v>
      </c>
      <c r="D608" s="97" t="str">
        <v>PERFIL LED COLGANTE CON CINTA 3 FILAS</v>
      </c>
      <c r="E608" t="str">
        <v>mtl</v>
      </c>
      <c r="F608" s="95"/>
      <c r="G608" s="95"/>
      <c r="H608" s="95"/>
      <c r="I608" s="95" t="n">
        <v>27.3</v>
      </c>
      <c r="J608" s="96" t="n">
        <v>0</v>
      </c>
      <c r="K608" s="95" t="n">
        <f>I608*(1+J608)</f>
        <v>27.3</v>
      </c>
      <c r="L608" s="96" t="n">
        <v>0.3</v>
      </c>
      <c r="M608" s="95" t="n">
        <f>K608*(1+L608)</f>
        <v>35.49</v>
      </c>
      <c r="N608" t="str">
        <v>Base interna retail</v>
      </c>
      <c r="O608" t="str">
        <v>Sin fecha indicada</v>
      </c>
      <c r="P608" s="97" t="str">
        <v>BASE INTERNA · fecha y alcance por verificar</v>
      </c>
      <c r="Q608" t="str">
        <v>ILUMINACION</v>
      </c>
      <c r="R608" t="str">
        <v>perfil led colgante con cinta 3 filas</v>
      </c>
    </row>
    <row r="609">
      <c r="A609" t="str">
        <v>INT-0102</v>
      </c>
      <c r="B609" t="str">
        <v>ILUMINACIÓN</v>
      </c>
      <c r="C609" t="str">
        <v>FILA-143</v>
      </c>
      <c r="D609" s="97" t="str">
        <v>LAMPARA DE EMERGENCIA</v>
      </c>
      <c r="E609" t="str">
        <v>u</v>
      </c>
      <c r="F609" s="95"/>
      <c r="G609" s="95"/>
      <c r="H609" s="95"/>
      <c r="I609" s="95" t="n">
        <v>25</v>
      </c>
      <c r="J609" s="96" t="n">
        <v>0</v>
      </c>
      <c r="K609" s="95" t="n">
        <f>I609*(1+J609)</f>
        <v>25</v>
      </c>
      <c r="L609" s="96" t="n">
        <v>0.3</v>
      </c>
      <c r="M609" s="95" t="n">
        <f>K609*(1+L609)</f>
        <v>32.5</v>
      </c>
      <c r="N609" t="str">
        <v>Base interna retail</v>
      </c>
      <c r="O609" t="str">
        <v>Sin fecha indicada</v>
      </c>
      <c r="P609" s="97" t="str">
        <v>BASE INTERNA · fecha y alcance por verificar</v>
      </c>
      <c r="Q609" t="str">
        <v>ILUMINACION</v>
      </c>
      <c r="R609" t="str">
        <v>lampara de emergencia</v>
      </c>
    </row>
    <row r="610">
      <c r="A610" t="str">
        <v>INT-0103</v>
      </c>
      <c r="B610" t="str">
        <v>ILUMINACIÓN</v>
      </c>
      <c r="C610" t="str">
        <v>FILA-144</v>
      </c>
      <c r="D610" s="97" t="str">
        <v>LAMPARA DE SALIDA</v>
      </c>
      <c r="E610" t="str">
        <v>u</v>
      </c>
      <c r="F610" s="95"/>
      <c r="G610" s="95"/>
      <c r="H610" s="95"/>
      <c r="I610" s="95" t="n">
        <v>25</v>
      </c>
      <c r="J610" s="96" t="n">
        <v>0</v>
      </c>
      <c r="K610" s="95" t="n">
        <f>I610*(1+J610)</f>
        <v>25</v>
      </c>
      <c r="L610" s="96" t="n">
        <v>0.3</v>
      </c>
      <c r="M610" s="95" t="n">
        <f>K610*(1+L610)</f>
        <v>32.5</v>
      </c>
      <c r="N610" t="str">
        <v>Base interna retail</v>
      </c>
      <c r="O610" t="str">
        <v>Sin fecha indicada</v>
      </c>
      <c r="P610" s="97" t="str">
        <v>BASE INTERNA · fecha y alcance por verificar</v>
      </c>
      <c r="Q610" t="str">
        <v>ILUMINACION</v>
      </c>
      <c r="R610" t="str">
        <v>lampara de salida</v>
      </c>
    </row>
    <row r="611">
      <c r="A611" t="str">
        <v>INT-0104</v>
      </c>
      <c r="B611" t="str">
        <v>ILUMINACIÓN</v>
      </c>
      <c r="C611" t="str">
        <v>FILA-145</v>
      </c>
      <c r="D611" s="97" t="str">
        <v>PUNTO DE TOMA CORRIENTES 110 V CON MATERIAL</v>
      </c>
      <c r="E611" t="str">
        <v>u</v>
      </c>
      <c r="F611" s="95"/>
      <c r="G611" s="95"/>
      <c r="H611" s="95"/>
      <c r="I611" s="95" t="n">
        <v>28</v>
      </c>
      <c r="J611" s="96" t="n">
        <v>0</v>
      </c>
      <c r="K611" s="95" t="n">
        <f>I611*(1+J611)</f>
        <v>28</v>
      </c>
      <c r="L611" s="96" t="n">
        <v>0.3</v>
      </c>
      <c r="M611" s="95" t="n">
        <f>K611*(1+L611)</f>
        <v>36.4</v>
      </c>
      <c r="N611" t="str">
        <v>Base interna retail</v>
      </c>
      <c r="O611" t="str">
        <v>Sin fecha indicada</v>
      </c>
      <c r="P611" s="97" t="str">
        <v>BASE INTERNA · fecha y alcance por verificar</v>
      </c>
      <c r="Q611" t="str">
        <v>ILUMINACION</v>
      </c>
      <c r="R611" t="str">
        <v>punto de toma corrientes 110 v con material</v>
      </c>
    </row>
    <row r="612">
      <c r="A612" t="str">
        <v>INT-0105</v>
      </c>
      <c r="B612" t="str">
        <v>ILUMINACIÓN</v>
      </c>
      <c r="C612" t="str">
        <v>FILA-146</v>
      </c>
      <c r="D612" s="97" t="str">
        <v>ALIMENTADOR DE ACOMETIDA</v>
      </c>
      <c r="E612" t="str">
        <v>gl</v>
      </c>
      <c r="F612" s="95"/>
      <c r="G612" s="95"/>
      <c r="H612" s="95"/>
      <c r="I612" s="95" t="n">
        <v>100</v>
      </c>
      <c r="J612" s="96" t="n">
        <v>0</v>
      </c>
      <c r="K612" s="95" t="n">
        <f>I612*(1+J612)</f>
        <v>100</v>
      </c>
      <c r="L612" s="96" t="n">
        <v>0.3</v>
      </c>
      <c r="M612" s="95" t="n">
        <f>K612*(1+L612)</f>
        <v>130</v>
      </c>
      <c r="N612" t="str">
        <v>Base interna retail</v>
      </c>
      <c r="O612" t="str">
        <v>Sin fecha indicada</v>
      </c>
      <c r="P612" s="97" t="str">
        <v>BASE INTERNA · fecha y alcance por verificar</v>
      </c>
      <c r="Q612" t="str">
        <v>ILUMINACION</v>
      </c>
      <c r="R612" t="str">
        <v>alimentador de acometida</v>
      </c>
    </row>
    <row r="613">
      <c r="A613" t="str">
        <v>INT-0106</v>
      </c>
      <c r="B613" t="str">
        <v>ILUMINACIÓN</v>
      </c>
      <c r="C613" t="str">
        <v>FILA-147</v>
      </c>
      <c r="D613" s="97" t="str">
        <v>CABLEADO PARA PUNTO DE CAMARAS DE VIDEO</v>
      </c>
      <c r="E613" t="str">
        <v>u</v>
      </c>
      <c r="F613" s="95"/>
      <c r="G613" s="95"/>
      <c r="H613" s="95"/>
      <c r="I613" s="95" t="n">
        <v>52</v>
      </c>
      <c r="J613" s="96" t="n">
        <v>0</v>
      </c>
      <c r="K613" s="95" t="n">
        <f>I613*(1+J613)</f>
        <v>52</v>
      </c>
      <c r="L613" s="96" t="n">
        <v>0.3</v>
      </c>
      <c r="M613" s="95" t="n">
        <f>K613*(1+L613)</f>
        <v>67.60000000000001</v>
      </c>
      <c r="N613" t="str">
        <v>Base interna retail</v>
      </c>
      <c r="O613" t="str">
        <v>Sin fecha indicada</v>
      </c>
      <c r="P613" s="97" t="str">
        <v>BASE INTERNA · fecha y alcance por verificar</v>
      </c>
      <c r="Q613" t="str">
        <v>ILUMINACION</v>
      </c>
      <c r="R613" t="str">
        <v>cableado para punto de camaras de video</v>
      </c>
    </row>
    <row r="614">
      <c r="A614" t="str">
        <v>INT-0107</v>
      </c>
      <c r="B614" t="str">
        <v>ILUMINACIÓN</v>
      </c>
      <c r="C614" t="str">
        <v>FILA-148</v>
      </c>
      <c r="D614" s="97" t="str">
        <v>PUNTO DE DATOS PARA BOTON DE PANICO</v>
      </c>
      <c r="E614" t="str">
        <v>u</v>
      </c>
      <c r="F614" s="95"/>
      <c r="G614" s="95"/>
      <c r="H614" s="95"/>
      <c r="I614" s="95" t="n">
        <v>52</v>
      </c>
      <c r="J614" s="96" t="n">
        <v>0</v>
      </c>
      <c r="K614" s="95" t="n">
        <f>I614*(1+J614)</f>
        <v>52</v>
      </c>
      <c r="L614" s="96" t="n">
        <v>0.3</v>
      </c>
      <c r="M614" s="95" t="n">
        <f>K614*(1+L614)</f>
        <v>67.60000000000001</v>
      </c>
      <c r="N614" t="str">
        <v>Base interna retail</v>
      </c>
      <c r="O614" t="str">
        <v>Sin fecha indicada</v>
      </c>
      <c r="P614" s="97" t="str">
        <v>BASE INTERNA · fecha y alcance por verificar</v>
      </c>
      <c r="Q614" t="str">
        <v>ILUMINACION</v>
      </c>
      <c r="R614" t="str">
        <v>punto de datos para boton de panico</v>
      </c>
    </row>
    <row r="615">
      <c r="A615" t="str">
        <v>INT-0108</v>
      </c>
      <c r="B615" t="str">
        <v>ILUMINACIÓN</v>
      </c>
      <c r="C615" t="str">
        <v>FILA-149</v>
      </c>
      <c r="D615" s="97" t="str">
        <v>PUNTO DATOS PARA INTERNET</v>
      </c>
      <c r="E615" t="str">
        <v>u</v>
      </c>
      <c r="F615" s="95"/>
      <c r="G615" s="95"/>
      <c r="H615" s="95"/>
      <c r="I615" s="95" t="n">
        <v>52</v>
      </c>
      <c r="J615" s="96" t="n">
        <v>0</v>
      </c>
      <c r="K615" s="95" t="n">
        <f>I615*(1+J615)</f>
        <v>52</v>
      </c>
      <c r="L615" s="96" t="n">
        <v>0.3</v>
      </c>
      <c r="M615" s="95" t="n">
        <f>K615*(1+L615)</f>
        <v>67.60000000000001</v>
      </c>
      <c r="N615" t="str">
        <v>Base interna retail</v>
      </c>
      <c r="O615" t="str">
        <v>Sin fecha indicada</v>
      </c>
      <c r="P615" s="97" t="str">
        <v>BASE INTERNA · fecha y alcance por verificar</v>
      </c>
      <c r="Q615" t="str">
        <v>ILUMINACION</v>
      </c>
      <c r="R615" t="str">
        <v>punto datos para internet</v>
      </c>
    </row>
    <row r="616">
      <c r="A616" t="str">
        <v>INT-0109</v>
      </c>
      <c r="B616" t="str">
        <v>ILUMINACIÓN</v>
      </c>
      <c r="C616" t="str">
        <v>FILA-150</v>
      </c>
      <c r="D616" s="97" t="str">
        <v>RACK DE COMUNICACIONES</v>
      </c>
      <c r="E616" t="str">
        <v>u</v>
      </c>
      <c r="F616" s="95"/>
      <c r="G616" s="95"/>
      <c r="H616" s="95"/>
      <c r="I616" s="95" t="n">
        <v>100</v>
      </c>
      <c r="J616" s="96" t="n">
        <v>0</v>
      </c>
      <c r="K616" s="95" t="n">
        <f>I616*(1+J616)</f>
        <v>100</v>
      </c>
      <c r="L616" s="96" t="n">
        <v>0.4</v>
      </c>
      <c r="M616" s="95" t="n">
        <f>K616*(1+L616)</f>
        <v>140</v>
      </c>
      <c r="N616" t="str">
        <v>Base interna retail</v>
      </c>
      <c r="O616" t="str">
        <v>Sin fecha indicada</v>
      </c>
      <c r="P616" s="97" t="str">
        <v>BASE INTERNA · fecha y alcance por verificar</v>
      </c>
      <c r="Q616" t="str">
        <v>ILUMINACION</v>
      </c>
      <c r="R616" t="str">
        <v>rack de comunicaciones</v>
      </c>
    </row>
    <row r="617">
      <c r="A617" t="str">
        <v>INT-0110</v>
      </c>
      <c r="B617" t="str">
        <v>ILUMINACIÓN</v>
      </c>
      <c r="C617" t="str">
        <v>FILA-151</v>
      </c>
      <c r="D617" s="97" t="str">
        <v>VIATICOS ELECTRICO</v>
      </c>
      <c r="E617" t="str">
        <v>gl</v>
      </c>
      <c r="F617" s="95"/>
      <c r="G617" s="95"/>
      <c r="H617" s="95"/>
      <c r="I617" s="95" t="n">
        <v>800</v>
      </c>
      <c r="J617" s="96" t="n">
        <v>0</v>
      </c>
      <c r="K617" s="95" t="n">
        <f>I617*(1+J617)</f>
        <v>800</v>
      </c>
      <c r="L617" s="96" t="n">
        <v>0.3</v>
      </c>
      <c r="M617" s="95" t="n">
        <f>K617*(1+L617)</f>
        <v>1040</v>
      </c>
      <c r="N617" t="str">
        <v>Base interna retail</v>
      </c>
      <c r="O617" t="str">
        <v>Sin fecha indicada</v>
      </c>
      <c r="P617" s="97" t="str">
        <v>BASE INTERNA · fecha y alcance por verificar</v>
      </c>
      <c r="Q617" t="str">
        <v>ILUMINACION</v>
      </c>
      <c r="R617" t="str">
        <v>viaticos electrico</v>
      </c>
    </row>
    <row r="618">
      <c r="A618" t="str">
        <v>INT-0111</v>
      </c>
      <c r="B618" t="str">
        <v>ILUMINACIÓN</v>
      </c>
      <c r="C618" t="str">
        <v>FILA-152</v>
      </c>
      <c r="D618" s="97" t="str">
        <v>PUNTO ELECTRICO PARA LUMINARIAS</v>
      </c>
      <c r="E618" t="str">
        <v>u</v>
      </c>
      <c r="F618" s="95"/>
      <c r="G618" s="95"/>
      <c r="H618" s="95"/>
      <c r="I618" s="95" t="n">
        <v>30</v>
      </c>
      <c r="J618" s="96" t="n">
        <v>0</v>
      </c>
      <c r="K618" s="95" t="n">
        <f>I618*(1+J618)</f>
        <v>30</v>
      </c>
      <c r="L618" s="96" t="n">
        <v>0.3</v>
      </c>
      <c r="M618" s="95" t="n">
        <f>K618*(1+L618)</f>
        <v>39</v>
      </c>
      <c r="N618" t="str">
        <v>Base interna retail</v>
      </c>
      <c r="O618" t="str">
        <v>Sin fecha indicada</v>
      </c>
      <c r="P618" s="97" t="str">
        <v>BASE INTERNA · fecha y alcance por verificar</v>
      </c>
      <c r="Q618" t="str">
        <v>ILUMINACION</v>
      </c>
      <c r="R618" t="str">
        <v>punto electrico para luminarias</v>
      </c>
    </row>
    <row r="619">
      <c r="A619" t="str">
        <v>INT-0112</v>
      </c>
      <c r="B619" t="str">
        <v>ILUMINACIÓN</v>
      </c>
      <c r="C619" t="str">
        <v>FILA-153</v>
      </c>
      <c r="D619" s="97" t="str">
        <v>PUNTO ELECTRICO PARA LETRERO</v>
      </c>
      <c r="E619" t="str">
        <v>u</v>
      </c>
      <c r="F619" s="95"/>
      <c r="G619" s="95"/>
      <c r="H619" s="95"/>
      <c r="I619" s="95" t="n">
        <v>35</v>
      </c>
      <c r="J619" s="96" t="n">
        <v>0</v>
      </c>
      <c r="K619" s="95" t="n">
        <f>I619*(1+J619)</f>
        <v>35</v>
      </c>
      <c r="L619" s="96" t="n">
        <v>0.4</v>
      </c>
      <c r="M619" s="95" t="n">
        <f>K619*(1+L619)</f>
        <v>49</v>
      </c>
      <c r="N619" t="str">
        <v>Base interna retail</v>
      </c>
      <c r="O619" t="str">
        <v>Sin fecha indicada</v>
      </c>
      <c r="P619" s="97" t="str">
        <v>BASE INTERNA · fecha y alcance por verificar</v>
      </c>
      <c r="Q619" t="str">
        <v>ILUMINACION</v>
      </c>
      <c r="R619" t="str">
        <v>punto electrico para letrero</v>
      </c>
    </row>
    <row r="620">
      <c r="A620" t="str">
        <v>INT-0113</v>
      </c>
      <c r="B620" t="str">
        <v>OBRA CIVIL</v>
      </c>
      <c r="C620" t="str">
        <v>FILA-162</v>
      </c>
      <c r="D620" s="97" t="str">
        <v>CABLE CONCENTRICO</v>
      </c>
      <c r="E620" t="str">
        <v>mtl</v>
      </c>
      <c r="F620" s="95"/>
      <c r="G620" s="95"/>
      <c r="H620" s="95"/>
      <c r="I620" s="95" t="n">
        <v>9</v>
      </c>
      <c r="J620" s="96" t="n">
        <v>0</v>
      </c>
      <c r="K620" s="95" t="n">
        <f>I620*(1+J620)</f>
        <v>9</v>
      </c>
      <c r="L620" s="96" t="n">
        <v>0.3</v>
      </c>
      <c r="M620" s="95" t="n">
        <f>K620*(1+L620)</f>
        <v>11.700000000000001</v>
      </c>
      <c r="N620" t="str">
        <v>Base interna retail</v>
      </c>
      <c r="O620" t="str">
        <v>Sin fecha indicada</v>
      </c>
      <c r="P620" s="97" t="str">
        <v>BASE INTERNA · fecha y alcance por verificar</v>
      </c>
      <c r="Q620" t="str">
        <v>AIRE ACONDICIONADO</v>
      </c>
      <c r="R620" t="str">
        <v>cable concentrico</v>
      </c>
    </row>
    <row r="621">
      <c r="A621" t="str">
        <v>INT-0114</v>
      </c>
      <c r="B621" t="str">
        <v>OBRA CIVIL</v>
      </c>
      <c r="C621" t="str">
        <v>FILA-163</v>
      </c>
      <c r="D621" s="97" t="str">
        <v>SALIDA DE EVAPORADOR</v>
      </c>
      <c r="E621" t="str">
        <v>u</v>
      </c>
      <c r="F621" s="95"/>
      <c r="G621" s="95"/>
      <c r="H621" s="95"/>
      <c r="I621" s="95" t="n">
        <v>21</v>
      </c>
      <c r="J621" s="96" t="n">
        <v>0</v>
      </c>
      <c r="K621" s="95" t="n">
        <f>I621*(1+J621)</f>
        <v>21</v>
      </c>
      <c r="L621" s="96" t="n">
        <v>0.3</v>
      </c>
      <c r="M621" s="95" t="n">
        <f>K621*(1+L621)</f>
        <v>27.3</v>
      </c>
      <c r="N621" t="str">
        <v>Base interna retail</v>
      </c>
      <c r="O621" t="str">
        <v>Sin fecha indicada</v>
      </c>
      <c r="P621" s="97" t="str">
        <v>BASE INTERNA · fecha y alcance por verificar</v>
      </c>
      <c r="Q621" t="str">
        <v>AIRE ACONDICIONADO</v>
      </c>
      <c r="R621" t="str">
        <v>salida de evaporador</v>
      </c>
    </row>
    <row r="622">
      <c r="A622" t="str">
        <v>INT-0115</v>
      </c>
      <c r="B622" t="str">
        <v>OBRA CIVIL</v>
      </c>
      <c r="C622" t="str">
        <v>FILA-164</v>
      </c>
      <c r="D622" s="97" t="str">
        <v>SALIDA DE TERMOSTATO</v>
      </c>
      <c r="E622" t="str">
        <v>u</v>
      </c>
      <c r="F622" s="95"/>
      <c r="G622" s="95"/>
      <c r="H622" s="95"/>
      <c r="I622" s="95" t="n">
        <v>21</v>
      </c>
      <c r="J622" s="96" t="n">
        <v>0</v>
      </c>
      <c r="K622" s="95" t="n">
        <f>I622*(1+J622)</f>
        <v>21</v>
      </c>
      <c r="L622" s="96" t="n">
        <v>0.3</v>
      </c>
      <c r="M622" s="95" t="n">
        <f>K622*(1+L622)</f>
        <v>27.3</v>
      </c>
      <c r="N622" t="str">
        <v>Base interna retail</v>
      </c>
      <c r="O622" t="str">
        <v>Sin fecha indicada</v>
      </c>
      <c r="P622" s="97" t="str">
        <v>BASE INTERNA · fecha y alcance por verificar</v>
      </c>
      <c r="Q622" t="str">
        <v>AIRE ACONDICIONADO</v>
      </c>
      <c r="R622" t="str">
        <v>salida de termostato</v>
      </c>
    </row>
    <row r="623">
      <c r="A623" t="str">
        <v>INT-0116</v>
      </c>
      <c r="B623" t="str">
        <v>OBRA CIVIL</v>
      </c>
      <c r="C623" t="str">
        <v>FILA-173</v>
      </c>
      <c r="D623" s="97" t="str">
        <v>LIMPIEZA FNAL DE OBRA</v>
      </c>
      <c r="E623" t="str">
        <v>m²</v>
      </c>
      <c r="F623" s="95"/>
      <c r="G623" s="95"/>
      <c r="H623" s="95"/>
      <c r="I623" s="95" t="n">
        <v>3</v>
      </c>
      <c r="J623" s="96" t="n">
        <v>0</v>
      </c>
      <c r="K623" s="95" t="n">
        <f>I623*(1+J623)</f>
        <v>3</v>
      </c>
      <c r="L623" s="96" t="n">
        <v>0.3</v>
      </c>
      <c r="M623" s="95" t="n">
        <f>K623*(1+L623)</f>
        <v>3.9000000000000004</v>
      </c>
      <c r="N623" t="str">
        <v>Base interna retail</v>
      </c>
      <c r="O623" t="str">
        <v>Sin fecha indicada</v>
      </c>
      <c r="P623" s="97" t="str">
        <v>BASE INTERNA · fecha y alcance por verificar</v>
      </c>
      <c r="Q623" t="str">
        <v>VARIOS Y EXTRAS</v>
      </c>
      <c r="R623" t="str">
        <v>limpieza fnal de obra</v>
      </c>
    </row>
    <row r="624">
      <c r="A624" t="str">
        <v>INT-0117</v>
      </c>
      <c r="B624" t="str">
        <v>MOBILIARIO Y MÓDULOS</v>
      </c>
      <c r="C624" t="str">
        <v>FILA-174</v>
      </c>
      <c r="D624" s="97" t="str">
        <v>TRANSPORTE DE MUEBLE A OBRA</v>
      </c>
      <c r="E624" t="str">
        <v>gl</v>
      </c>
      <c r="F624" s="95"/>
      <c r="G624" s="95"/>
      <c r="H624" s="95"/>
      <c r="I624" s="95" t="n">
        <v>450</v>
      </c>
      <c r="J624" s="96" t="n">
        <v>0</v>
      </c>
      <c r="K624" s="95" t="n">
        <f>I624*(1+J624)</f>
        <v>450</v>
      </c>
      <c r="L624" s="96" t="n">
        <v>0.4</v>
      </c>
      <c r="M624" s="95" t="n">
        <f>K624*(1+L624)</f>
        <v>630</v>
      </c>
      <c r="N624" t="str">
        <v>Base interna retail</v>
      </c>
      <c r="O624" t="str">
        <v>Sin fecha indicada</v>
      </c>
      <c r="P624" s="97" t="str">
        <v>BASE INTERNA · fecha y alcance por verificar</v>
      </c>
      <c r="Q624" t="str">
        <v>VARIOS Y EXTRAS</v>
      </c>
      <c r="R624" t="str">
        <v>transporte de mueble a obra</v>
      </c>
    </row>
    <row r="625">
      <c r="A625" t="str">
        <v>INT-0118</v>
      </c>
      <c r="B625" t="str">
        <v>VARIOS, TRANSPORTE Y MONTAJE</v>
      </c>
      <c r="C625" t="str">
        <v>FILA-175</v>
      </c>
      <c r="D625" s="97" t="str">
        <v>VIATICOS ARQ CON PASAJE</v>
      </c>
      <c r="E625" t="str">
        <v>gl</v>
      </c>
      <c r="F625" s="95"/>
      <c r="G625" s="95"/>
      <c r="H625" s="95"/>
      <c r="I625" s="95" t="n">
        <v>240</v>
      </c>
      <c r="J625" s="96" t="n">
        <v>0</v>
      </c>
      <c r="K625" s="95" t="n">
        <f>I625*(1+J625)</f>
        <v>240</v>
      </c>
      <c r="L625" s="96" t="n">
        <v>0</v>
      </c>
      <c r="M625" s="95" t="n">
        <f>K625*(1+L625)</f>
        <v>240</v>
      </c>
      <c r="N625" t="str">
        <v>Base interna retail</v>
      </c>
      <c r="O625" t="str">
        <v>Sin fecha indicada</v>
      </c>
      <c r="P625" s="97" t="str">
        <v>BASE INTERNA · fecha y alcance por verificar</v>
      </c>
      <c r="Q625" t="str">
        <v>VARIOS Y EXTRAS</v>
      </c>
      <c r="R625" t="str">
        <v>viaticos arq con pasaje</v>
      </c>
    </row>
    <row r="626">
      <c r="A626" t="str">
        <v>INT-0119</v>
      </c>
      <c r="B626" t="str">
        <v>VARIOS, TRANSPORTE Y MONTAJE</v>
      </c>
      <c r="C626" t="str">
        <v>FILA-176</v>
      </c>
      <c r="D626" s="97" t="str">
        <v>MONTAJE DE MOBILIARIO AREA COMERCIAL</v>
      </c>
      <c r="E626" t="str">
        <v>gl</v>
      </c>
      <c r="F626" s="95"/>
      <c r="G626" s="95"/>
      <c r="H626" s="95"/>
      <c r="I626" s="95" t="n">
        <v>250</v>
      </c>
      <c r="J626" s="96" t="n">
        <v>0</v>
      </c>
      <c r="K626" s="95" t="n">
        <f>I626*(1+J626)</f>
        <v>250</v>
      </c>
      <c r="L626" s="96" t="n">
        <v>0.35</v>
      </c>
      <c r="M626" s="95" t="n">
        <f>K626*(1+L626)</f>
        <v>337.5</v>
      </c>
      <c r="N626" t="str">
        <v>Base interna retail</v>
      </c>
      <c r="O626" t="str">
        <v>Sin fecha indicada</v>
      </c>
      <c r="P626" s="97" t="str">
        <v>BASE INTERNA · fecha y alcance por verificar</v>
      </c>
      <c r="Q626" t="str">
        <v>VARIOS Y EXTRAS</v>
      </c>
      <c r="R626" t="str">
        <v>montaje de mobiliario area comercial</v>
      </c>
    </row>
    <row r="627">
      <c r="A627" t="str">
        <v>INT-0120</v>
      </c>
      <c r="B627" t="str">
        <v>MOBILIARIO Y MÓDULOS</v>
      </c>
      <c r="C627" t="str">
        <v>FILA-179</v>
      </c>
      <c r="D627" s="97" t="str">
        <v>Transporte módulo desarmado en Quito</v>
      </c>
      <c r="E627" t="str">
        <v>gl</v>
      </c>
      <c r="F627" s="95"/>
      <c r="G627" s="95"/>
      <c r="H627" s="95"/>
      <c r="I627" s="95" t="n">
        <v>350</v>
      </c>
      <c r="J627" s="96" t="n">
        <v>0</v>
      </c>
      <c r="K627" s="95" t="n">
        <f>I627*(1+J627)</f>
        <v>350</v>
      </c>
      <c r="L627" s="96" t="n">
        <v>0.3</v>
      </c>
      <c r="M627" s="95" t="n">
        <f>K627*(1+L627)</f>
        <v>455</v>
      </c>
      <c r="N627" t="str">
        <v>Base interna retail</v>
      </c>
      <c r="O627" t="str">
        <v>Sin fecha indicada</v>
      </c>
      <c r="P627" s="97" t="str">
        <v>BASE INTERNA · fecha y alcance por verificar · utilidad 30% provisional</v>
      </c>
      <c r="Q627" t="str">
        <v>LOGÍSTICA Y TRANSPORTE</v>
      </c>
      <c r="R627" t="str">
        <v>transporte modulo desarmado en quito</v>
      </c>
    </row>
    <row r="628">
      <c r="A628" t="str">
        <v>INT-0121</v>
      </c>
      <c r="B628" t="str">
        <v>VARIOS, TRANSPORTE Y MONTAJE</v>
      </c>
      <c r="C628" t="str">
        <v>FILA-180</v>
      </c>
      <c r="D628" s="97" t="str">
        <v>Instalación en sitio</v>
      </c>
      <c r="E628" t="str">
        <v>gl</v>
      </c>
      <c r="F628" s="95"/>
      <c r="G628" s="95"/>
      <c r="H628" s="95"/>
      <c r="I628" s="95" t="n">
        <v>900</v>
      </c>
      <c r="J628" s="96" t="n">
        <v>0</v>
      </c>
      <c r="K628" s="95" t="n">
        <f>I628*(1+J628)</f>
        <v>900</v>
      </c>
      <c r="L628" s="96" t="n">
        <v>0.3</v>
      </c>
      <c r="M628" s="95" t="n">
        <f>K628*(1+L628)</f>
        <v>1170</v>
      </c>
      <c r="N628" t="str">
        <v>Base interna retail</v>
      </c>
      <c r="O628" t="str">
        <v>Sin fecha indicada</v>
      </c>
      <c r="P628" s="97" t="str">
        <v>BASE INTERNA · fecha y alcance por verificar · utilidad 30% provisional</v>
      </c>
      <c r="Q628" t="str">
        <v>LOGÍSTICA Y TRANSPORTE</v>
      </c>
      <c r="R628" t="str">
        <v>instalacion en sitio</v>
      </c>
    </row>
    <row r="629">
      <c r="A629" t="str">
        <v>INT-0122</v>
      </c>
      <c r="B629" t="str">
        <v>VARIOS, TRANSPORTE Y MONTAJE</v>
      </c>
      <c r="C629" t="str">
        <v>FILA-182</v>
      </c>
      <c r="D629" s="97" t="str">
        <v>Herramientas + consumibles</v>
      </c>
      <c r="E629" t="str">
        <v>gl</v>
      </c>
      <c r="F629" s="95"/>
      <c r="G629" s="95"/>
      <c r="H629" s="95"/>
      <c r="I629" s="95" t="n">
        <v>200</v>
      </c>
      <c r="J629" s="96" t="n">
        <v>0</v>
      </c>
      <c r="K629" s="95" t="n">
        <f>I629*(1+J629)</f>
        <v>200</v>
      </c>
      <c r="L629" s="96" t="n">
        <v>0.3</v>
      </c>
      <c r="M629" s="95" t="n">
        <f>K629*(1+L629)</f>
        <v>260</v>
      </c>
      <c r="N629" t="str">
        <v>Base interna retail</v>
      </c>
      <c r="O629" t="str">
        <v>Sin fecha indicada</v>
      </c>
      <c r="P629" s="97" t="str">
        <v>BASE INTERNA · fecha y alcance por verificar · utilidad 30% provisional</v>
      </c>
      <c r="Q629" t="str">
        <v>VARIOS Y ADMINISTRACIÓN</v>
      </c>
      <c r="R629" t="str">
        <v>herramientas + consumibles</v>
      </c>
    </row>
    <row r="630">
      <c r="A630" t="str">
        <v>INT-0123</v>
      </c>
      <c r="B630" t="str">
        <v>VARIOS, TRANSPORTE Y MONTAJE</v>
      </c>
      <c r="C630" t="str">
        <v>FILA-183</v>
      </c>
      <c r="D630" s="97" t="str">
        <v>Gestión administrativa</v>
      </c>
      <c r="E630" t="str">
        <v>gl</v>
      </c>
      <c r="F630" s="95"/>
      <c r="G630" s="95"/>
      <c r="H630" s="95"/>
      <c r="I630" s="95" t="n">
        <v>250</v>
      </c>
      <c r="J630" s="96" t="n">
        <v>0</v>
      </c>
      <c r="K630" s="95" t="n">
        <f>I630*(1+J630)</f>
        <v>250</v>
      </c>
      <c r="L630" s="96" t="n">
        <v>0.3</v>
      </c>
      <c r="M630" s="95" t="n">
        <f>K630*(1+L630)</f>
        <v>325</v>
      </c>
      <c r="N630" t="str">
        <v>Base interna retail</v>
      </c>
      <c r="O630" t="str">
        <v>Sin fecha indicada</v>
      </c>
      <c r="P630" s="97" t="str">
        <v>BASE INTERNA · fecha y alcance por verificar · utilidad 30% provisional</v>
      </c>
      <c r="Q630" t="str">
        <v>VARIOS Y ADMINISTRACIÓN</v>
      </c>
      <c r="R630" t="str">
        <v>gestion administrativa</v>
      </c>
    </row>
    <row r="631">
      <c r="A631" t="str">
        <v>INT-0124</v>
      </c>
      <c r="B631" t="str">
        <v>VARIOS, TRANSPORTE Y MONTAJE</v>
      </c>
      <c r="C631" t="str">
        <v>FILA-184</v>
      </c>
      <c r="D631" s="97" t="str">
        <v>Contingencias (8%)</v>
      </c>
      <c r="E631" t="str">
        <v>%</v>
      </c>
      <c r="F631" s="95"/>
      <c r="G631" s="95"/>
      <c r="H631" s="95"/>
      <c r="I631" s="95" t="n">
        <v>1960</v>
      </c>
      <c r="J631" s="96" t="n">
        <v>0</v>
      </c>
      <c r="K631" s="95" t="n">
        <f>I631*(1+J631)</f>
        <v>1960</v>
      </c>
      <c r="L631" s="96" t="n">
        <v>0.3</v>
      </c>
      <c r="M631" s="95" t="n">
        <f>K631*(1+L631)</f>
        <v>2548</v>
      </c>
      <c r="N631" t="str">
        <v>Base interna retail</v>
      </c>
      <c r="O631" t="str">
        <v>Sin fecha indicada</v>
      </c>
      <c r="P631" s="97" t="str">
        <v>BASE INTERNA · fecha y alcance por verificar · utilidad 30% provisional</v>
      </c>
      <c r="Q631" t="str">
        <v>VARIOS Y ADMINISTRACIÓN</v>
      </c>
      <c r="R631" t="str">
        <v>contingencias (8%)</v>
      </c>
    </row>
  </sheetData>
  <mergeCells>
    <mergeCell ref="A1:R1"/>
    <mergeCell ref="A2:R2"/>
    <mergeCell ref="A3:R3"/>
  </mergeCells>
  <conditionalFormatting sqref="P6:P631">
    <cfRule type="containsText" dxfId="0" priority="1" operator="containsText" text="verificar"/>
  </conditionalFormatting>
  <pageMargins left="0.7" right="0.7" top="0.75" bottom="0.75" header="0.3" footer="0.3"/>
  <tableParts count="1">
    <tablePart xmlns:r="http://schemas.openxmlformats.org/officeDocument/2006/relationships" r:id="Rec9046b87c7443ff"/>
  </tableParts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45" hidden="0" customWidth="1"/>
    <col min="3" max="3" width="32" hidden="0" customWidth="1"/>
    <col min="4" max="4" width="32" hidden="0" customWidth="1"/>
    <col min="5" max="5" width="20" hidden="0" customWidth="1"/>
    <col min="6" max="6" width="20" hidden="0" customWidth="1"/>
    <col min="7" max="7" width="34" hidden="0" customWidth="1"/>
    <col min="8" max="8" width="18" hidden="0" customWidth="1"/>
  </cols>
  <sheetData>
    <row r="1">
      <c r="A1" s="89" t="str">
        <v>REVISIÓN TÉCNICA · SUPUESTOS Y PARTIDAS POR VALIDAR</v>
      </c>
      <c r="B1" s="89"/>
      <c r="C1" s="89"/>
      <c r="D1" s="89"/>
      <c r="E1" s="89"/>
      <c r="F1" s="89"/>
      <c r="G1" s="89"/>
      <c r="H1" s="89"/>
    </row>
    <row r="3">
      <c r="A3" s="93" t="str">
        <v>CÓDIGO</v>
      </c>
      <c r="B3" s="93" t="str">
        <v>RUBRO</v>
      </c>
      <c r="C3" s="93" t="str">
        <v>ORIGEN DEL PRECIO</v>
      </c>
      <c r="D3" s="93" t="str">
        <v>SUPUESTO DE CANTIDAD</v>
      </c>
      <c r="E3" s="93" t="str">
        <v>NIVEL DE CONFIANZA</v>
      </c>
      <c r="F3" s="93" t="str">
        <v>REQUIERE VERIFICACIÓN</v>
      </c>
      <c r="G3" s="93" t="str">
        <v>ACCIÓN REQUERIDA</v>
      </c>
      <c r="H3" s="93" t="str">
        <v>VISTA / PÁGINA</v>
      </c>
    </row>
    <row r="4">
      <c r="A4" s="99"/>
      <c r="B4" s="102"/>
      <c r="C4" s="102"/>
      <c r="D4" s="102"/>
      <c r="E4" s="99"/>
      <c r="F4" s="99"/>
      <c r="G4" s="102"/>
      <c r="H4" s="102"/>
    </row>
    <row r="5">
      <c r="A5" s="100"/>
      <c r="B5" s="103"/>
      <c r="C5" s="103"/>
      <c r="D5" s="103"/>
      <c r="E5" s="100"/>
      <c r="F5" s="100"/>
      <c r="G5" s="103"/>
      <c r="H5" s="103"/>
    </row>
    <row r="6">
      <c r="A6" s="100"/>
      <c r="B6" s="103"/>
      <c r="C6" s="103"/>
      <c r="D6" s="103"/>
      <c r="E6" s="100"/>
      <c r="F6" s="100"/>
      <c r="G6" s="103"/>
      <c r="H6" s="103"/>
    </row>
    <row r="7">
      <c r="A7" s="100"/>
      <c r="B7" s="103"/>
      <c r="C7" s="103"/>
      <c r="D7" s="103"/>
      <c r="E7" s="100"/>
      <c r="F7" s="100"/>
      <c r="G7" s="103"/>
      <c r="H7" s="103"/>
    </row>
    <row r="8">
      <c r="A8" s="100"/>
      <c r="B8" s="103"/>
      <c r="C8" s="103"/>
      <c r="D8" s="103"/>
      <c r="E8" s="100"/>
      <c r="F8" s="100"/>
      <c r="G8" s="103"/>
      <c r="H8" s="103"/>
    </row>
    <row r="9">
      <c r="A9" s="100"/>
      <c r="B9" s="103"/>
      <c r="C9" s="103"/>
      <c r="D9" s="103"/>
      <c r="E9" s="100"/>
      <c r="F9" s="100"/>
      <c r="G9" s="103"/>
      <c r="H9" s="103"/>
    </row>
    <row r="10">
      <c r="A10" s="100"/>
      <c r="B10" s="103"/>
      <c r="C10" s="103"/>
      <c r="D10" s="103"/>
      <c r="E10" s="100"/>
      <c r="F10" s="100"/>
      <c r="G10" s="103"/>
      <c r="H10" s="103"/>
    </row>
    <row r="11">
      <c r="A11" s="100"/>
      <c r="B11" s="103"/>
      <c r="C11" s="103"/>
      <c r="D11" s="103"/>
      <c r="E11" s="100"/>
      <c r="F11" s="100"/>
      <c r="G11" s="103"/>
      <c r="H11" s="103"/>
    </row>
    <row r="12">
      <c r="A12" s="100"/>
      <c r="B12" s="103"/>
      <c r="C12" s="103"/>
      <c r="D12" s="103"/>
      <c r="E12" s="100"/>
      <c r="F12" s="100"/>
      <c r="G12" s="103"/>
      <c r="H12" s="103"/>
    </row>
    <row r="13">
      <c r="A13" s="100"/>
      <c r="B13" s="103"/>
      <c r="C13" s="103"/>
      <c r="D13" s="103"/>
      <c r="E13" s="100"/>
      <c r="F13" s="100"/>
      <c r="G13" s="103"/>
      <c r="H13" s="103"/>
    </row>
    <row r="14">
      <c r="A14" s="100"/>
      <c r="B14" s="103"/>
      <c r="C14" s="103"/>
      <c r="D14" s="103"/>
      <c r="E14" s="100"/>
      <c r="F14" s="100"/>
      <c r="G14" s="103"/>
      <c r="H14" s="103"/>
    </row>
    <row r="15">
      <c r="A15" s="100"/>
      <c r="B15" s="103"/>
      <c r="C15" s="103"/>
      <c r="D15" s="103"/>
      <c r="E15" s="100"/>
      <c r="F15" s="100"/>
      <c r="G15" s="103"/>
      <c r="H15" s="103"/>
    </row>
    <row r="16">
      <c r="A16" s="100"/>
      <c r="B16" s="103"/>
      <c r="C16" s="103"/>
      <c r="D16" s="103"/>
      <c r="E16" s="100"/>
      <c r="F16" s="100"/>
      <c r="G16" s="103"/>
      <c r="H16" s="103"/>
    </row>
    <row r="17">
      <c r="A17" s="100"/>
      <c r="B17" s="103"/>
      <c r="C17" s="103"/>
      <c r="D17" s="103"/>
      <c r="E17" s="100"/>
      <c r="F17" s="100"/>
      <c r="G17" s="103"/>
      <c r="H17" s="103"/>
    </row>
    <row r="18">
      <c r="A18" s="100"/>
      <c r="B18" s="103"/>
      <c r="C18" s="103"/>
      <c r="D18" s="103"/>
      <c r="E18" s="100"/>
      <c r="F18" s="100"/>
      <c r="G18" s="103"/>
      <c r="H18" s="103"/>
    </row>
    <row r="19">
      <c r="A19" s="100"/>
      <c r="B19" s="103"/>
      <c r="C19" s="103"/>
      <c r="D19" s="103"/>
      <c r="E19" s="100"/>
      <c r="F19" s="100"/>
      <c r="G19" s="103"/>
      <c r="H19" s="103"/>
    </row>
    <row r="20">
      <c r="A20" s="100"/>
      <c r="B20" s="103"/>
      <c r="C20" s="103"/>
      <c r="D20" s="103"/>
      <c r="E20" s="100"/>
      <c r="F20" s="100"/>
      <c r="G20" s="103"/>
      <c r="H20" s="103"/>
    </row>
    <row r="21">
      <c r="A21" s="100"/>
      <c r="B21" s="103"/>
      <c r="C21" s="103"/>
      <c r="D21" s="103"/>
      <c r="E21" s="100"/>
      <c r="F21" s="100"/>
      <c r="G21" s="103"/>
      <c r="H21" s="103"/>
    </row>
    <row r="22">
      <c r="A22" s="100"/>
      <c r="B22" s="103"/>
      <c r="C22" s="103"/>
      <c r="D22" s="103"/>
      <c r="E22" s="100"/>
      <c r="F22" s="100"/>
      <c r="G22" s="103"/>
      <c r="H22" s="103"/>
    </row>
    <row r="23">
      <c r="A23" s="100"/>
      <c r="B23" s="103"/>
      <c r="C23" s="103"/>
      <c r="D23" s="103"/>
      <c r="E23" s="100"/>
      <c r="F23" s="100"/>
      <c r="G23" s="103"/>
      <c r="H23" s="103"/>
    </row>
    <row r="24">
      <c r="A24" s="100"/>
      <c r="B24" s="103"/>
      <c r="C24" s="103"/>
      <c r="D24" s="103"/>
      <c r="E24" s="100"/>
      <c r="F24" s="100"/>
      <c r="G24" s="103"/>
      <c r="H24" s="103"/>
    </row>
    <row r="25">
      <c r="A25" s="100"/>
      <c r="B25" s="103"/>
      <c r="C25" s="103"/>
      <c r="D25" s="103"/>
      <c r="E25" s="100"/>
      <c r="F25" s="100"/>
      <c r="G25" s="103"/>
      <c r="H25" s="103"/>
    </row>
    <row r="26">
      <c r="A26" s="100"/>
      <c r="B26" s="103"/>
      <c r="C26" s="103"/>
      <c r="D26" s="103"/>
      <c r="E26" s="100"/>
      <c r="F26" s="100"/>
      <c r="G26" s="103"/>
      <c r="H26" s="103"/>
    </row>
    <row r="27">
      <c r="A27" s="100"/>
      <c r="B27" s="103"/>
      <c r="C27" s="103"/>
      <c r="D27" s="103"/>
      <c r="E27" s="100"/>
      <c r="F27" s="100"/>
      <c r="G27" s="103"/>
      <c r="H27" s="103"/>
    </row>
    <row r="28">
      <c r="A28" s="100"/>
      <c r="B28" s="103"/>
      <c r="C28" s="103"/>
      <c r="D28" s="103"/>
      <c r="E28" s="100"/>
      <c r="F28" s="100"/>
      <c r="G28" s="103"/>
      <c r="H28" s="103"/>
    </row>
    <row r="29">
      <c r="A29" s="100"/>
      <c r="B29" s="103"/>
      <c r="C29" s="103"/>
      <c r="D29" s="103"/>
      <c r="E29" s="100"/>
      <c r="F29" s="100"/>
      <c r="G29" s="103"/>
      <c r="H29" s="103"/>
    </row>
    <row r="30">
      <c r="A30" s="100"/>
      <c r="B30" s="103"/>
      <c r="C30" s="103"/>
      <c r="D30" s="103"/>
      <c r="E30" s="100"/>
      <c r="F30" s="100"/>
      <c r="G30" s="103"/>
      <c r="H30" s="103"/>
    </row>
    <row r="31">
      <c r="A31" s="100"/>
      <c r="B31" s="103"/>
      <c r="C31" s="103"/>
      <c r="D31" s="103"/>
      <c r="E31" s="100"/>
      <c r="F31" s="100"/>
      <c r="G31" s="103"/>
      <c r="H31" s="103"/>
    </row>
    <row r="32">
      <c r="A32" s="100"/>
      <c r="B32" s="103"/>
      <c r="C32" s="103"/>
      <c r="D32" s="103"/>
      <c r="E32" s="100"/>
      <c r="F32" s="100"/>
      <c r="G32" s="103"/>
      <c r="H32" s="103"/>
    </row>
    <row r="33">
      <c r="A33" s="100"/>
      <c r="B33" s="103"/>
      <c r="C33" s="103"/>
      <c r="D33" s="103"/>
      <c r="E33" s="100"/>
      <c r="F33" s="100"/>
      <c r="G33" s="103"/>
      <c r="H33" s="103"/>
    </row>
    <row r="34">
      <c r="A34" s="100"/>
      <c r="B34" s="103"/>
      <c r="C34" s="103"/>
      <c r="D34" s="103"/>
      <c r="E34" s="100"/>
      <c r="F34" s="100"/>
      <c r="G34" s="103"/>
      <c r="H34" s="103"/>
    </row>
    <row r="35">
      <c r="A35" s="100"/>
      <c r="B35" s="103"/>
      <c r="C35" s="103"/>
      <c r="D35" s="103"/>
      <c r="E35" s="100"/>
      <c r="F35" s="100"/>
      <c r="G35" s="103"/>
      <c r="H35" s="103"/>
    </row>
    <row r="36">
      <c r="A36" s="100"/>
      <c r="B36" s="103"/>
      <c r="C36" s="103"/>
      <c r="D36" s="103"/>
      <c r="E36" s="100"/>
      <c r="F36" s="100"/>
      <c r="G36" s="103"/>
      <c r="H36" s="103"/>
    </row>
    <row r="37">
      <c r="A37" s="100"/>
      <c r="B37" s="103"/>
      <c r="C37" s="103"/>
      <c r="D37" s="103"/>
      <c r="E37" s="100"/>
      <c r="F37" s="100"/>
      <c r="G37" s="103"/>
      <c r="H37" s="103"/>
    </row>
    <row r="38">
      <c r="A38" s="100"/>
      <c r="B38" s="103"/>
      <c r="C38" s="103"/>
      <c r="D38" s="103"/>
      <c r="E38" s="100"/>
      <c r="F38" s="100"/>
      <c r="G38" s="103"/>
      <c r="H38" s="103"/>
    </row>
    <row r="39">
      <c r="A39" s="100"/>
      <c r="B39" s="103"/>
      <c r="C39" s="103"/>
      <c r="D39" s="103"/>
      <c r="E39" s="100"/>
      <c r="F39" s="100"/>
      <c r="G39" s="103"/>
      <c r="H39" s="103"/>
    </row>
    <row r="40">
      <c r="A40" s="100"/>
      <c r="B40" s="103"/>
      <c r="C40" s="103"/>
      <c r="D40" s="103"/>
      <c r="E40" s="100"/>
      <c r="F40" s="100"/>
      <c r="G40" s="103"/>
      <c r="H40" s="103"/>
    </row>
    <row r="41">
      <c r="A41" s="100"/>
      <c r="B41" s="103"/>
      <c r="C41" s="103"/>
      <c r="D41" s="103"/>
      <c r="E41" s="100"/>
      <c r="F41" s="100"/>
      <c r="G41" s="103"/>
      <c r="H41" s="103"/>
    </row>
    <row r="42">
      <c r="A42" s="100"/>
      <c r="B42" s="103"/>
      <c r="C42" s="103"/>
      <c r="D42" s="103"/>
      <c r="E42" s="100"/>
      <c r="F42" s="100"/>
      <c r="G42" s="103"/>
      <c r="H42" s="103"/>
    </row>
    <row r="43">
      <c r="A43" s="100"/>
      <c r="B43" s="103"/>
      <c r="C43" s="103"/>
      <c r="D43" s="103"/>
      <c r="E43" s="100"/>
      <c r="F43" s="100"/>
      <c r="G43" s="103"/>
      <c r="H43" s="103"/>
    </row>
    <row r="44">
      <c r="A44" s="100"/>
      <c r="B44" s="103"/>
      <c r="C44" s="103"/>
      <c r="D44" s="103"/>
      <c r="E44" s="100"/>
      <c r="F44" s="100"/>
      <c r="G44" s="103"/>
      <c r="H44" s="103"/>
    </row>
    <row r="45">
      <c r="A45" s="100"/>
      <c r="B45" s="103"/>
      <c r="C45" s="103"/>
      <c r="D45" s="103"/>
      <c r="E45" s="100"/>
      <c r="F45" s="100"/>
      <c r="G45" s="103"/>
      <c r="H45" s="103"/>
    </row>
    <row r="46">
      <c r="A46" s="100"/>
      <c r="B46" s="103"/>
      <c r="C46" s="103"/>
      <c r="D46" s="103"/>
      <c r="E46" s="100"/>
      <c r="F46" s="100"/>
      <c r="G46" s="103"/>
      <c r="H46" s="103"/>
    </row>
    <row r="47">
      <c r="A47" s="100"/>
      <c r="B47" s="103"/>
      <c r="C47" s="103"/>
      <c r="D47" s="103"/>
      <c r="E47" s="100"/>
      <c r="F47" s="100"/>
      <c r="G47" s="103"/>
      <c r="H47" s="103"/>
    </row>
    <row r="48">
      <c r="A48" s="100"/>
      <c r="B48" s="103"/>
      <c r="C48" s="103"/>
      <c r="D48" s="103"/>
      <c r="E48" s="100"/>
      <c r="F48" s="100"/>
      <c r="G48" s="103"/>
      <c r="H48" s="103"/>
    </row>
    <row r="49">
      <c r="A49" s="100"/>
      <c r="B49" s="103"/>
      <c r="C49" s="103"/>
      <c r="D49" s="103"/>
      <c r="E49" s="100"/>
      <c r="F49" s="100"/>
      <c r="G49" s="103"/>
      <c r="H49" s="103"/>
    </row>
    <row r="50">
      <c r="A50" s="100"/>
      <c r="B50" s="103"/>
      <c r="C50" s="103"/>
      <c r="D50" s="103"/>
      <c r="E50" s="100"/>
      <c r="F50" s="100"/>
      <c r="G50" s="103"/>
      <c r="H50" s="103"/>
    </row>
    <row r="51">
      <c r="A51" s="100"/>
      <c r="B51" s="103"/>
      <c r="C51" s="103"/>
      <c r="D51" s="103"/>
      <c r="E51" s="100"/>
      <c r="F51" s="100"/>
      <c r="G51" s="103"/>
      <c r="H51" s="103"/>
    </row>
    <row r="52">
      <c r="A52" s="100"/>
      <c r="B52" s="103"/>
      <c r="C52" s="103"/>
      <c r="D52" s="103"/>
      <c r="E52" s="100"/>
      <c r="F52" s="100"/>
      <c r="G52" s="103"/>
      <c r="H52" s="103"/>
    </row>
    <row r="53">
      <c r="A53" s="100"/>
      <c r="B53" s="103"/>
      <c r="C53" s="103"/>
      <c r="D53" s="103"/>
      <c r="E53" s="100"/>
      <c r="F53" s="100"/>
      <c r="G53" s="103"/>
      <c r="H53" s="103"/>
    </row>
    <row r="54">
      <c r="A54" s="100"/>
      <c r="B54" s="103"/>
      <c r="C54" s="103"/>
      <c r="D54" s="103"/>
      <c r="E54" s="100"/>
      <c r="F54" s="100"/>
      <c r="G54" s="103"/>
      <c r="H54" s="103"/>
    </row>
    <row r="55">
      <c r="A55" s="100"/>
      <c r="B55" s="103"/>
      <c r="C55" s="103"/>
      <c r="D55" s="103"/>
      <c r="E55" s="100"/>
      <c r="F55" s="100"/>
      <c r="G55" s="103"/>
      <c r="H55" s="103"/>
    </row>
    <row r="56">
      <c r="A56" s="100"/>
      <c r="B56" s="103"/>
      <c r="C56" s="103"/>
      <c r="D56" s="103"/>
      <c r="E56" s="100"/>
      <c r="F56" s="100"/>
      <c r="G56" s="103"/>
      <c r="H56" s="103"/>
    </row>
    <row r="57">
      <c r="A57" s="100"/>
      <c r="B57" s="103"/>
      <c r="C57" s="103"/>
      <c r="D57" s="103"/>
      <c r="E57" s="100"/>
      <c r="F57" s="100"/>
      <c r="G57" s="103"/>
      <c r="H57" s="103"/>
    </row>
    <row r="58">
      <c r="A58" s="100"/>
      <c r="B58" s="103"/>
      <c r="C58" s="103"/>
      <c r="D58" s="103"/>
      <c r="E58" s="100"/>
      <c r="F58" s="100"/>
      <c r="G58" s="103"/>
      <c r="H58" s="103"/>
    </row>
    <row r="59">
      <c r="A59" s="100"/>
      <c r="B59" s="103"/>
      <c r="C59" s="103"/>
      <c r="D59" s="103"/>
      <c r="E59" s="100"/>
      <c r="F59" s="100"/>
      <c r="G59" s="103"/>
      <c r="H59" s="103"/>
    </row>
    <row r="60">
      <c r="A60" s="100"/>
      <c r="B60" s="103"/>
      <c r="C60" s="103"/>
      <c r="D60" s="103"/>
      <c r="E60" s="100"/>
      <c r="F60" s="100"/>
      <c r="G60" s="103"/>
      <c r="H60" s="103"/>
    </row>
    <row r="61">
      <c r="A61" s="100"/>
      <c r="B61" s="103"/>
      <c r="C61" s="103"/>
      <c r="D61" s="103"/>
      <c r="E61" s="100"/>
      <c r="F61" s="100"/>
      <c r="G61" s="103"/>
      <c r="H61" s="103"/>
    </row>
    <row r="62">
      <c r="A62" s="100"/>
      <c r="B62" s="103"/>
      <c r="C62" s="103"/>
      <c r="D62" s="103"/>
      <c r="E62" s="100"/>
      <c r="F62" s="100"/>
      <c r="G62" s="103"/>
      <c r="H62" s="103"/>
    </row>
    <row r="63">
      <c r="A63" s="100"/>
      <c r="B63" s="103"/>
      <c r="C63" s="103"/>
      <c r="D63" s="103"/>
      <c r="E63" s="100"/>
      <c r="F63" s="100"/>
      <c r="G63" s="103"/>
      <c r="H63" s="103"/>
    </row>
    <row r="64">
      <c r="A64" s="100"/>
      <c r="B64" s="103"/>
      <c r="C64" s="103"/>
      <c r="D64" s="103"/>
      <c r="E64" s="100"/>
      <c r="F64" s="100"/>
      <c r="G64" s="103"/>
      <c r="H64" s="103"/>
    </row>
    <row r="65">
      <c r="A65" s="100"/>
      <c r="B65" s="103"/>
      <c r="C65" s="103"/>
      <c r="D65" s="103"/>
      <c r="E65" s="100"/>
      <c r="F65" s="100"/>
      <c r="G65" s="103"/>
      <c r="H65" s="103"/>
    </row>
    <row r="66">
      <c r="A66" s="100"/>
      <c r="B66" s="103"/>
      <c r="C66" s="103"/>
      <c r="D66" s="103"/>
      <c r="E66" s="100"/>
      <c r="F66" s="100"/>
      <c r="G66" s="103"/>
      <c r="H66" s="103"/>
    </row>
    <row r="67">
      <c r="A67" s="100"/>
      <c r="B67" s="103"/>
      <c r="C67" s="103"/>
      <c r="D67" s="103"/>
      <c r="E67" s="100"/>
      <c r="F67" s="100"/>
      <c r="G67" s="103"/>
      <c r="H67" s="103"/>
    </row>
    <row r="68">
      <c r="A68" s="100"/>
      <c r="B68" s="103"/>
      <c r="C68" s="103"/>
      <c r="D68" s="103"/>
      <c r="E68" s="100"/>
      <c r="F68" s="100"/>
      <c r="G68" s="103"/>
      <c r="H68" s="103"/>
    </row>
    <row r="69">
      <c r="A69" s="100"/>
      <c r="B69" s="103"/>
      <c r="C69" s="103"/>
      <c r="D69" s="103"/>
      <c r="E69" s="100"/>
      <c r="F69" s="100"/>
      <c r="G69" s="103"/>
      <c r="H69" s="103"/>
    </row>
    <row r="70">
      <c r="A70" s="100"/>
      <c r="B70" s="103"/>
      <c r="C70" s="103"/>
      <c r="D70" s="103"/>
      <c r="E70" s="100"/>
      <c r="F70" s="100"/>
      <c r="G70" s="103"/>
      <c r="H70" s="103"/>
    </row>
    <row r="71">
      <c r="A71" s="100"/>
      <c r="B71" s="103"/>
      <c r="C71" s="103"/>
      <c r="D71" s="103"/>
      <c r="E71" s="100"/>
      <c r="F71" s="100"/>
      <c r="G71" s="103"/>
      <c r="H71" s="103"/>
    </row>
    <row r="72">
      <c r="A72" s="100"/>
      <c r="B72" s="103"/>
      <c r="C72" s="103"/>
      <c r="D72" s="103"/>
      <c r="E72" s="100"/>
      <c r="F72" s="100"/>
      <c r="G72" s="103"/>
      <c r="H72" s="103"/>
    </row>
    <row r="73">
      <c r="A73" s="100"/>
      <c r="B73" s="103"/>
      <c r="C73" s="103"/>
      <c r="D73" s="103"/>
      <c r="E73" s="100"/>
      <c r="F73" s="100"/>
      <c r="G73" s="103"/>
      <c r="H73" s="103"/>
    </row>
    <row r="74">
      <c r="A74" s="100"/>
      <c r="B74" s="103"/>
      <c r="C74" s="103"/>
      <c r="D74" s="103"/>
      <c r="E74" s="100"/>
      <c r="F74" s="100"/>
      <c r="G74" s="103"/>
      <c r="H74" s="103"/>
    </row>
    <row r="75">
      <c r="A75" s="100"/>
      <c r="B75" s="103"/>
      <c r="C75" s="103"/>
      <c r="D75" s="103"/>
      <c r="E75" s="100"/>
      <c r="F75" s="100"/>
      <c r="G75" s="103"/>
      <c r="H75" s="103"/>
    </row>
    <row r="76">
      <c r="A76" s="100"/>
      <c r="B76" s="103"/>
      <c r="C76" s="103"/>
      <c r="D76" s="103"/>
      <c r="E76" s="100"/>
      <c r="F76" s="100"/>
      <c r="G76" s="103"/>
      <c r="H76" s="103"/>
    </row>
    <row r="77">
      <c r="A77" s="100"/>
      <c r="B77" s="103"/>
      <c r="C77" s="103"/>
      <c r="D77" s="103"/>
      <c r="E77" s="100"/>
      <c r="F77" s="100"/>
      <c r="G77" s="103"/>
      <c r="H77" s="103"/>
    </row>
    <row r="78">
      <c r="A78" s="100"/>
      <c r="B78" s="103"/>
      <c r="C78" s="103"/>
      <c r="D78" s="103"/>
      <c r="E78" s="100"/>
      <c r="F78" s="100"/>
      <c r="G78" s="103"/>
      <c r="H78" s="103"/>
    </row>
    <row r="79">
      <c r="A79" s="100"/>
      <c r="B79" s="103"/>
      <c r="C79" s="103"/>
      <c r="D79" s="103"/>
      <c r="E79" s="100"/>
      <c r="F79" s="100"/>
      <c r="G79" s="103"/>
      <c r="H79" s="103"/>
    </row>
    <row r="80">
      <c r="A80" s="100"/>
      <c r="B80" s="103"/>
      <c r="C80" s="103"/>
      <c r="D80" s="103"/>
      <c r="E80" s="100"/>
      <c r="F80" s="100"/>
      <c r="G80" s="103"/>
      <c r="H80" s="103"/>
    </row>
    <row r="81">
      <c r="A81" s="100"/>
      <c r="B81" s="103"/>
      <c r="C81" s="103"/>
      <c r="D81" s="103"/>
      <c r="E81" s="100"/>
      <c r="F81" s="100"/>
      <c r="G81" s="103"/>
      <c r="H81" s="103"/>
    </row>
    <row r="82">
      <c r="A82" s="100"/>
      <c r="B82" s="103"/>
      <c r="C82" s="103"/>
      <c r="D82" s="103"/>
      <c r="E82" s="100"/>
      <c r="F82" s="100"/>
      <c r="G82" s="103"/>
      <c r="H82" s="103"/>
    </row>
    <row r="83">
      <c r="A83" s="100"/>
      <c r="B83" s="103"/>
      <c r="C83" s="103"/>
      <c r="D83" s="103"/>
      <c r="E83" s="100"/>
      <c r="F83" s="100"/>
      <c r="G83" s="103"/>
      <c r="H83" s="103"/>
    </row>
    <row r="84">
      <c r="A84" s="100"/>
      <c r="B84" s="103"/>
      <c r="C84" s="103"/>
      <c r="D84" s="103"/>
      <c r="E84" s="100"/>
      <c r="F84" s="100"/>
      <c r="G84" s="103"/>
      <c r="H84" s="103"/>
    </row>
    <row r="85">
      <c r="A85" s="100"/>
      <c r="B85" s="103"/>
      <c r="C85" s="103"/>
      <c r="D85" s="103"/>
      <c r="E85" s="100"/>
      <c r="F85" s="100"/>
      <c r="G85" s="103"/>
      <c r="H85" s="103"/>
    </row>
    <row r="86">
      <c r="A86" s="100"/>
      <c r="B86" s="103"/>
      <c r="C86" s="103"/>
      <c r="D86" s="103"/>
      <c r="E86" s="100"/>
      <c r="F86" s="100"/>
      <c r="G86" s="103"/>
      <c r="H86" s="103"/>
    </row>
    <row r="87">
      <c r="A87" s="100"/>
      <c r="B87" s="103"/>
      <c r="C87" s="103"/>
      <c r="D87" s="103"/>
      <c r="E87" s="100"/>
      <c r="F87" s="100"/>
      <c r="G87" s="103"/>
      <c r="H87" s="103"/>
    </row>
    <row r="88">
      <c r="A88" s="100"/>
      <c r="B88" s="103"/>
      <c r="C88" s="103"/>
      <c r="D88" s="103"/>
      <c r="E88" s="100"/>
      <c r="F88" s="100"/>
      <c r="G88" s="103"/>
      <c r="H88" s="103"/>
    </row>
    <row r="89">
      <c r="A89" s="100"/>
      <c r="B89" s="103"/>
      <c r="C89" s="103"/>
      <c r="D89" s="103"/>
      <c r="E89" s="100"/>
      <c r="F89" s="100"/>
      <c r="G89" s="103"/>
      <c r="H89" s="103"/>
    </row>
    <row r="90">
      <c r="A90" s="100"/>
      <c r="B90" s="103"/>
      <c r="C90" s="103"/>
      <c r="D90" s="103"/>
      <c r="E90" s="100"/>
      <c r="F90" s="100"/>
      <c r="G90" s="103"/>
      <c r="H90" s="103"/>
    </row>
    <row r="91">
      <c r="A91" s="100"/>
      <c r="B91" s="103"/>
      <c r="C91" s="103"/>
      <c r="D91" s="103"/>
      <c r="E91" s="100"/>
      <c r="F91" s="100"/>
      <c r="G91" s="103"/>
      <c r="H91" s="103"/>
    </row>
    <row r="92">
      <c r="A92" s="100"/>
      <c r="B92" s="103"/>
      <c r="C92" s="103"/>
      <c r="D92" s="103"/>
      <c r="E92" s="100"/>
      <c r="F92" s="100"/>
      <c r="G92" s="103"/>
      <c r="H92" s="103"/>
    </row>
    <row r="93">
      <c r="A93" s="100"/>
      <c r="B93" s="103"/>
      <c r="C93" s="103"/>
      <c r="D93" s="103"/>
      <c r="E93" s="100"/>
      <c r="F93" s="100"/>
      <c r="G93" s="103"/>
      <c r="H93" s="103"/>
    </row>
    <row r="94">
      <c r="A94" s="100"/>
      <c r="B94" s="103"/>
      <c r="C94" s="103"/>
      <c r="D94" s="103"/>
      <c r="E94" s="100"/>
      <c r="F94" s="100"/>
      <c r="G94" s="103"/>
      <c r="H94" s="103"/>
    </row>
    <row r="95">
      <c r="A95" s="100"/>
      <c r="B95" s="103"/>
      <c r="C95" s="103"/>
      <c r="D95" s="103"/>
      <c r="E95" s="100"/>
      <c r="F95" s="100"/>
      <c r="G95" s="103"/>
      <c r="H95" s="103"/>
    </row>
    <row r="96">
      <c r="A96" s="100"/>
      <c r="B96" s="103"/>
      <c r="C96" s="103"/>
      <c r="D96" s="103"/>
      <c r="E96" s="100"/>
      <c r="F96" s="100"/>
      <c r="G96" s="103"/>
      <c r="H96" s="103"/>
    </row>
    <row r="97">
      <c r="A97" s="100"/>
      <c r="B97" s="103"/>
      <c r="C97" s="103"/>
      <c r="D97" s="103"/>
      <c r="E97" s="100"/>
      <c r="F97" s="100"/>
      <c r="G97" s="103"/>
      <c r="H97" s="103"/>
    </row>
    <row r="98">
      <c r="A98" s="100"/>
      <c r="B98" s="103"/>
      <c r="C98" s="103"/>
      <c r="D98" s="103"/>
      <c r="E98" s="100"/>
      <c r="F98" s="100"/>
      <c r="G98" s="103"/>
      <c r="H98" s="103"/>
    </row>
    <row r="99">
      <c r="A99" s="100"/>
      <c r="B99" s="103"/>
      <c r="C99" s="103"/>
      <c r="D99" s="103"/>
      <c r="E99" s="100"/>
      <c r="F99" s="100"/>
      <c r="G99" s="103"/>
      <c r="H99" s="103"/>
    </row>
    <row r="100">
      <c r="A100" s="100"/>
      <c r="B100" s="103"/>
      <c r="C100" s="103"/>
      <c r="D100" s="103"/>
      <c r="E100" s="100"/>
      <c r="F100" s="100"/>
      <c r="G100" s="103"/>
      <c r="H100" s="103"/>
    </row>
    <row r="101">
      <c r="A101" s="100"/>
      <c r="B101" s="103"/>
      <c r="C101" s="103"/>
      <c r="D101" s="103"/>
      <c r="E101" s="100"/>
      <c r="F101" s="100"/>
      <c r="G101" s="103"/>
      <c r="H101" s="103"/>
    </row>
    <row r="102">
      <c r="A102" s="100"/>
      <c r="B102" s="103"/>
      <c r="C102" s="103"/>
      <c r="D102" s="103"/>
      <c r="E102" s="100"/>
      <c r="F102" s="100"/>
      <c r="G102" s="103"/>
      <c r="H102" s="103"/>
    </row>
    <row r="103">
      <c r="A103" s="100"/>
      <c r="B103" s="103"/>
      <c r="C103" s="103"/>
      <c r="D103" s="103"/>
      <c r="E103" s="100"/>
      <c r="F103" s="100"/>
      <c r="G103" s="103"/>
      <c r="H103" s="103"/>
    </row>
    <row r="104">
      <c r="A104" s="100"/>
      <c r="B104" s="103"/>
      <c r="C104" s="103"/>
      <c r="D104" s="103"/>
      <c r="E104" s="100"/>
      <c r="F104" s="100"/>
      <c r="G104" s="103"/>
      <c r="H104" s="103"/>
    </row>
    <row r="105">
      <c r="A105" s="100"/>
      <c r="B105" s="103"/>
      <c r="C105" s="103"/>
      <c r="D105" s="103"/>
      <c r="E105" s="100"/>
      <c r="F105" s="100"/>
      <c r="G105" s="103"/>
      <c r="H105" s="103"/>
    </row>
    <row r="106">
      <c r="A106" s="100"/>
      <c r="B106" s="103"/>
      <c r="C106" s="103"/>
      <c r="D106" s="103"/>
      <c r="E106" s="100"/>
      <c r="F106" s="100"/>
      <c r="G106" s="103"/>
      <c r="H106" s="103"/>
    </row>
    <row r="107">
      <c r="A107" s="100"/>
      <c r="B107" s="103"/>
      <c r="C107" s="103"/>
      <c r="D107" s="103"/>
      <c r="E107" s="100"/>
      <c r="F107" s="100"/>
      <c r="G107" s="103"/>
      <c r="H107" s="103"/>
    </row>
    <row r="108">
      <c r="A108" s="100"/>
      <c r="B108" s="103"/>
      <c r="C108" s="103"/>
      <c r="D108" s="103"/>
      <c r="E108" s="100"/>
      <c r="F108" s="100"/>
      <c r="G108" s="103"/>
      <c r="H108" s="103"/>
    </row>
    <row r="109">
      <c r="A109" s="100"/>
      <c r="B109" s="103"/>
      <c r="C109" s="103"/>
      <c r="D109" s="103"/>
      <c r="E109" s="100"/>
      <c r="F109" s="100"/>
      <c r="G109" s="103"/>
      <c r="H109" s="103"/>
    </row>
    <row r="110">
      <c r="A110" s="100"/>
      <c r="B110" s="103"/>
      <c r="C110" s="103"/>
      <c r="D110" s="103"/>
      <c r="E110" s="100"/>
      <c r="F110" s="100"/>
      <c r="G110" s="103"/>
      <c r="H110" s="103"/>
    </row>
    <row r="111">
      <c r="A111" s="100"/>
      <c r="B111" s="103"/>
      <c r="C111" s="103"/>
      <c r="D111" s="103"/>
      <c r="E111" s="100"/>
      <c r="F111" s="100"/>
      <c r="G111" s="103"/>
      <c r="H111" s="103"/>
    </row>
    <row r="112">
      <c r="A112" s="100"/>
      <c r="B112" s="103"/>
      <c r="C112" s="103"/>
      <c r="D112" s="103"/>
      <c r="E112" s="100"/>
      <c r="F112" s="100"/>
      <c r="G112" s="103"/>
      <c r="H112" s="103"/>
    </row>
    <row r="113">
      <c r="A113" s="100"/>
      <c r="B113" s="103"/>
      <c r="C113" s="103"/>
      <c r="D113" s="103"/>
      <c r="E113" s="100"/>
      <c r="F113" s="100"/>
      <c r="G113" s="103"/>
      <c r="H113" s="103"/>
    </row>
    <row r="114">
      <c r="A114" s="100"/>
      <c r="B114" s="103"/>
      <c r="C114" s="103"/>
      <c r="D114" s="103"/>
      <c r="E114" s="100"/>
      <c r="F114" s="100"/>
      <c r="G114" s="103"/>
      <c r="H114" s="103"/>
    </row>
    <row r="115">
      <c r="A115" s="100"/>
      <c r="B115" s="103"/>
      <c r="C115" s="103"/>
      <c r="D115" s="103"/>
      <c r="E115" s="100"/>
      <c r="F115" s="100"/>
      <c r="G115" s="103"/>
      <c r="H115" s="103"/>
    </row>
    <row r="116">
      <c r="A116" s="100"/>
      <c r="B116" s="103"/>
      <c r="C116" s="103"/>
      <c r="D116" s="103"/>
      <c r="E116" s="100"/>
      <c r="F116" s="100"/>
      <c r="G116" s="103"/>
      <c r="H116" s="103"/>
    </row>
    <row r="117">
      <c r="A117" s="100"/>
      <c r="B117" s="103"/>
      <c r="C117" s="103"/>
      <c r="D117" s="103"/>
      <c r="E117" s="100"/>
      <c r="F117" s="100"/>
      <c r="G117" s="103"/>
      <c r="H117" s="103"/>
    </row>
    <row r="118">
      <c r="A118" s="100"/>
      <c r="B118" s="103"/>
      <c r="C118" s="103"/>
      <c r="D118" s="103"/>
      <c r="E118" s="100"/>
      <c r="F118" s="100"/>
      <c r="G118" s="103"/>
      <c r="H118" s="103"/>
    </row>
    <row r="119">
      <c r="A119" s="100"/>
      <c r="B119" s="103"/>
      <c r="C119" s="103"/>
      <c r="D119" s="103"/>
      <c r="E119" s="100"/>
      <c r="F119" s="100"/>
      <c r="G119" s="103"/>
      <c r="H119" s="103"/>
    </row>
    <row r="120">
      <c r="A120" s="100"/>
      <c r="B120" s="103"/>
      <c r="C120" s="103"/>
      <c r="D120" s="103"/>
      <c r="E120" s="100"/>
      <c r="F120" s="100"/>
      <c r="G120" s="103"/>
      <c r="H120" s="103"/>
    </row>
    <row r="121">
      <c r="A121" s="100"/>
      <c r="B121" s="103"/>
      <c r="C121" s="103"/>
      <c r="D121" s="103"/>
      <c r="E121" s="100"/>
      <c r="F121" s="100"/>
      <c r="G121" s="103"/>
      <c r="H121" s="103"/>
    </row>
    <row r="122">
      <c r="A122" s="100"/>
      <c r="B122" s="103"/>
      <c r="C122" s="103"/>
      <c r="D122" s="103"/>
      <c r="E122" s="100"/>
      <c r="F122" s="100"/>
      <c r="G122" s="103"/>
      <c r="H122" s="103"/>
    </row>
    <row r="123">
      <c r="A123" s="100"/>
      <c r="B123" s="103"/>
      <c r="C123" s="103"/>
      <c r="D123" s="103"/>
      <c r="E123" s="100"/>
      <c r="F123" s="100"/>
      <c r="G123" s="103"/>
      <c r="H123" s="103"/>
    </row>
    <row r="124">
      <c r="A124" s="100"/>
      <c r="B124" s="103"/>
      <c r="C124" s="103"/>
      <c r="D124" s="103"/>
      <c r="E124" s="100"/>
      <c r="F124" s="100"/>
      <c r="G124" s="103"/>
      <c r="H124" s="103"/>
    </row>
    <row r="125">
      <c r="A125" s="100"/>
      <c r="B125" s="103"/>
      <c r="C125" s="103"/>
      <c r="D125" s="103"/>
      <c r="E125" s="100"/>
      <c r="F125" s="100"/>
      <c r="G125" s="103"/>
      <c r="H125" s="103"/>
    </row>
    <row r="126">
      <c r="A126" s="100"/>
      <c r="B126" s="103"/>
      <c r="C126" s="103"/>
      <c r="D126" s="103"/>
      <c r="E126" s="100"/>
      <c r="F126" s="100"/>
      <c r="G126" s="103"/>
      <c r="H126" s="103"/>
    </row>
    <row r="127">
      <c r="A127" s="100"/>
      <c r="B127" s="103"/>
      <c r="C127" s="103"/>
      <c r="D127" s="103"/>
      <c r="E127" s="100"/>
      <c r="F127" s="100"/>
      <c r="G127" s="103"/>
      <c r="H127" s="103"/>
    </row>
    <row r="128">
      <c r="A128" s="100"/>
      <c r="B128" s="103"/>
      <c r="C128" s="103"/>
      <c r="D128" s="103"/>
      <c r="E128" s="100"/>
      <c r="F128" s="100"/>
      <c r="G128" s="103"/>
      <c r="H128" s="103"/>
    </row>
    <row r="129">
      <c r="A129" s="100"/>
      <c r="B129" s="103"/>
      <c r="C129" s="103"/>
      <c r="D129" s="103"/>
      <c r="E129" s="100"/>
      <c r="F129" s="100"/>
      <c r="G129" s="103"/>
      <c r="H129" s="103"/>
    </row>
    <row r="130">
      <c r="A130" s="100"/>
      <c r="B130" s="103"/>
      <c r="C130" s="103"/>
      <c r="D130" s="103"/>
      <c r="E130" s="100"/>
      <c r="F130" s="100"/>
      <c r="G130" s="103"/>
      <c r="H130" s="103"/>
    </row>
    <row r="131">
      <c r="A131" s="100"/>
      <c r="B131" s="103"/>
      <c r="C131" s="103"/>
      <c r="D131" s="103"/>
      <c r="E131" s="100"/>
      <c r="F131" s="100"/>
      <c r="G131" s="103"/>
      <c r="H131" s="103"/>
    </row>
    <row r="132">
      <c r="A132" s="100"/>
      <c r="B132" s="103"/>
      <c r="C132" s="103"/>
      <c r="D132" s="103"/>
      <c r="E132" s="100"/>
      <c r="F132" s="100"/>
      <c r="G132" s="103"/>
      <c r="H132" s="103"/>
    </row>
    <row r="133">
      <c r="A133" s="100"/>
      <c r="B133" s="103"/>
      <c r="C133" s="103"/>
      <c r="D133" s="103"/>
      <c r="E133" s="100"/>
      <c r="F133" s="100"/>
      <c r="G133" s="103"/>
      <c r="H133" s="103"/>
    </row>
    <row r="134">
      <c r="A134" s="100"/>
      <c r="B134" s="103"/>
      <c r="C134" s="103"/>
      <c r="D134" s="103"/>
      <c r="E134" s="100"/>
      <c r="F134" s="100"/>
      <c r="G134" s="103"/>
      <c r="H134" s="103"/>
    </row>
    <row r="135">
      <c r="A135" s="100"/>
      <c r="B135" s="103"/>
      <c r="C135" s="103"/>
      <c r="D135" s="103"/>
      <c r="E135" s="100"/>
      <c r="F135" s="100"/>
      <c r="G135" s="103"/>
      <c r="H135" s="103"/>
    </row>
    <row r="136">
      <c r="A136" s="100"/>
      <c r="B136" s="103"/>
      <c r="C136" s="103"/>
      <c r="D136" s="103"/>
      <c r="E136" s="100"/>
      <c r="F136" s="100"/>
      <c r="G136" s="103"/>
      <c r="H136" s="103"/>
    </row>
    <row r="137">
      <c r="A137" s="100"/>
      <c r="B137" s="103"/>
      <c r="C137" s="103"/>
      <c r="D137" s="103"/>
      <c r="E137" s="100"/>
      <c r="F137" s="100"/>
      <c r="G137" s="103"/>
      <c r="H137" s="103"/>
    </row>
    <row r="138">
      <c r="A138" s="100"/>
      <c r="B138" s="103"/>
      <c r="C138" s="103"/>
      <c r="D138" s="103"/>
      <c r="E138" s="100"/>
      <c r="F138" s="100"/>
      <c r="G138" s="103"/>
      <c r="H138" s="103"/>
    </row>
    <row r="139">
      <c r="A139" s="100"/>
      <c r="B139" s="103"/>
      <c r="C139" s="103"/>
      <c r="D139" s="103"/>
      <c r="E139" s="100"/>
      <c r="F139" s="100"/>
      <c r="G139" s="103"/>
      <c r="H139" s="103"/>
    </row>
    <row r="140">
      <c r="A140" s="100"/>
      <c r="B140" s="103"/>
      <c r="C140" s="103"/>
      <c r="D140" s="103"/>
      <c r="E140" s="100"/>
      <c r="F140" s="100"/>
      <c r="G140" s="103"/>
      <c r="H140" s="103"/>
    </row>
    <row r="141">
      <c r="A141" s="100"/>
      <c r="B141" s="103"/>
      <c r="C141" s="103"/>
      <c r="D141" s="103"/>
      <c r="E141" s="100"/>
      <c r="F141" s="100"/>
      <c r="G141" s="103"/>
      <c r="H141" s="103"/>
    </row>
    <row r="142">
      <c r="A142" s="100"/>
      <c r="B142" s="103"/>
      <c r="C142" s="103"/>
      <c r="D142" s="103"/>
      <c r="E142" s="100"/>
      <c r="F142" s="100"/>
      <c r="G142" s="103"/>
      <c r="H142" s="103"/>
    </row>
    <row r="143">
      <c r="A143" s="100"/>
      <c r="B143" s="103"/>
      <c r="C143" s="103"/>
      <c r="D143" s="103"/>
      <c r="E143" s="100"/>
      <c r="F143" s="100"/>
      <c r="G143" s="103"/>
      <c r="H143" s="103"/>
    </row>
    <row r="144">
      <c r="A144" s="100"/>
      <c r="B144" s="103"/>
      <c r="C144" s="103"/>
      <c r="D144" s="103"/>
      <c r="E144" s="100"/>
      <c r="F144" s="100"/>
      <c r="G144" s="103"/>
      <c r="H144" s="103"/>
    </row>
    <row r="145">
      <c r="A145" s="100"/>
      <c r="B145" s="103"/>
      <c r="C145" s="103"/>
      <c r="D145" s="103"/>
      <c r="E145" s="100"/>
      <c r="F145" s="100"/>
      <c r="G145" s="103"/>
      <c r="H145" s="103"/>
    </row>
    <row r="146">
      <c r="A146" s="100"/>
      <c r="B146" s="103"/>
      <c r="C146" s="103"/>
      <c r="D146" s="103"/>
      <c r="E146" s="100"/>
      <c r="F146" s="100"/>
      <c r="G146" s="103"/>
      <c r="H146" s="103"/>
    </row>
    <row r="147">
      <c r="A147" s="100"/>
      <c r="B147" s="103"/>
      <c r="C147" s="103"/>
      <c r="D147" s="103"/>
      <c r="E147" s="100"/>
      <c r="F147" s="100"/>
      <c r="G147" s="103"/>
      <c r="H147" s="103"/>
    </row>
    <row r="148">
      <c r="A148" s="100"/>
      <c r="B148" s="103"/>
      <c r="C148" s="103"/>
      <c r="D148" s="103"/>
      <c r="E148" s="100"/>
      <c r="F148" s="100"/>
      <c r="G148" s="103"/>
      <c r="H148" s="103"/>
    </row>
    <row r="149">
      <c r="A149" s="100"/>
      <c r="B149" s="103"/>
      <c r="C149" s="103"/>
      <c r="D149" s="103"/>
      <c r="E149" s="100"/>
      <c r="F149" s="100"/>
      <c r="G149" s="103"/>
      <c r="H149" s="103"/>
    </row>
    <row r="150">
      <c r="A150" s="100"/>
      <c r="B150" s="103"/>
      <c r="C150" s="103"/>
      <c r="D150" s="103"/>
      <c r="E150" s="100"/>
      <c r="F150" s="100"/>
      <c r="G150" s="103"/>
      <c r="H150" s="103"/>
    </row>
    <row r="151">
      <c r="A151" s="100"/>
      <c r="B151" s="103"/>
      <c r="C151" s="103"/>
      <c r="D151" s="103"/>
      <c r="E151" s="100"/>
      <c r="F151" s="100"/>
      <c r="G151" s="103"/>
      <c r="H151" s="103"/>
    </row>
    <row r="152">
      <c r="A152" s="100"/>
      <c r="B152" s="103"/>
      <c r="C152" s="103"/>
      <c r="D152" s="103"/>
      <c r="E152" s="100"/>
      <c r="F152" s="100"/>
      <c r="G152" s="103"/>
      <c r="H152" s="103"/>
    </row>
    <row r="153">
      <c r="A153" s="100"/>
      <c r="B153" s="103"/>
      <c r="C153" s="103"/>
      <c r="D153" s="103"/>
      <c r="E153" s="100"/>
      <c r="F153" s="100"/>
      <c r="G153" s="103"/>
      <c r="H153" s="103"/>
    </row>
    <row r="154">
      <c r="A154" s="100"/>
      <c r="B154" s="103"/>
      <c r="C154" s="103"/>
      <c r="D154" s="103"/>
      <c r="E154" s="100"/>
      <c r="F154" s="100"/>
      <c r="G154" s="103"/>
      <c r="H154" s="103"/>
    </row>
    <row r="155">
      <c r="A155" s="100"/>
      <c r="B155" s="103"/>
      <c r="C155" s="103"/>
      <c r="D155" s="103"/>
      <c r="E155" s="100"/>
      <c r="F155" s="100"/>
      <c r="G155" s="103"/>
      <c r="H155" s="103"/>
    </row>
    <row r="156">
      <c r="A156" s="100"/>
      <c r="B156" s="103"/>
      <c r="C156" s="103"/>
      <c r="D156" s="103"/>
      <c r="E156" s="100"/>
      <c r="F156" s="100"/>
      <c r="G156" s="103"/>
      <c r="H156" s="103"/>
    </row>
    <row r="157">
      <c r="A157" s="100"/>
      <c r="B157" s="103"/>
      <c r="C157" s="103"/>
      <c r="D157" s="103"/>
      <c r="E157" s="100"/>
      <c r="F157" s="100"/>
      <c r="G157" s="103"/>
      <c r="H157" s="103"/>
    </row>
    <row r="158">
      <c r="A158" s="100"/>
      <c r="B158" s="103"/>
      <c r="C158" s="103"/>
      <c r="D158" s="103"/>
      <c r="E158" s="100"/>
      <c r="F158" s="100"/>
      <c r="G158" s="103"/>
      <c r="H158" s="103"/>
    </row>
    <row r="159">
      <c r="A159" s="100"/>
      <c r="B159" s="103"/>
      <c r="C159" s="103"/>
      <c r="D159" s="103"/>
      <c r="E159" s="100"/>
      <c r="F159" s="100"/>
      <c r="G159" s="103"/>
      <c r="H159" s="103"/>
    </row>
    <row r="160">
      <c r="A160" s="100"/>
      <c r="B160" s="103"/>
      <c r="C160" s="103"/>
      <c r="D160" s="103"/>
      <c r="E160" s="100"/>
      <c r="F160" s="100"/>
      <c r="G160" s="103"/>
      <c r="H160" s="103"/>
    </row>
    <row r="161">
      <c r="A161" s="100"/>
      <c r="B161" s="103"/>
      <c r="C161" s="103"/>
      <c r="D161" s="103"/>
      <c r="E161" s="100"/>
      <c r="F161" s="100"/>
      <c r="G161" s="103"/>
      <c r="H161" s="103"/>
    </row>
    <row r="162">
      <c r="A162" s="100"/>
      <c r="B162" s="103"/>
      <c r="C162" s="103"/>
      <c r="D162" s="103"/>
      <c r="E162" s="100"/>
      <c r="F162" s="100"/>
      <c r="G162" s="103"/>
      <c r="H162" s="103"/>
    </row>
    <row r="163">
      <c r="A163" s="100"/>
      <c r="B163" s="103"/>
      <c r="C163" s="103"/>
      <c r="D163" s="103"/>
      <c r="E163" s="100"/>
      <c r="F163" s="100"/>
      <c r="G163" s="103"/>
      <c r="H163" s="103"/>
    </row>
    <row r="164">
      <c r="A164" s="100"/>
      <c r="B164" s="103"/>
      <c r="C164" s="103"/>
      <c r="D164" s="103"/>
      <c r="E164" s="100"/>
      <c r="F164" s="100"/>
      <c r="G164" s="103"/>
      <c r="H164" s="103"/>
    </row>
    <row r="165">
      <c r="A165" s="100"/>
      <c r="B165" s="103"/>
      <c r="C165" s="103"/>
      <c r="D165" s="103"/>
      <c r="E165" s="100"/>
      <c r="F165" s="100"/>
      <c r="G165" s="103"/>
      <c r="H165" s="103"/>
    </row>
    <row r="166">
      <c r="A166" s="100"/>
      <c r="B166" s="103"/>
      <c r="C166" s="103"/>
      <c r="D166" s="103"/>
      <c r="E166" s="100"/>
      <c r="F166" s="100"/>
      <c r="G166" s="103"/>
      <c r="H166" s="103"/>
    </row>
    <row r="167">
      <c r="A167" s="100"/>
      <c r="B167" s="103"/>
      <c r="C167" s="103"/>
      <c r="D167" s="103"/>
      <c r="E167" s="100"/>
      <c r="F167" s="100"/>
      <c r="G167" s="103"/>
      <c r="H167" s="103"/>
    </row>
    <row r="168">
      <c r="A168" s="100"/>
      <c r="B168" s="103"/>
      <c r="C168" s="103"/>
      <c r="D168" s="103"/>
      <c r="E168" s="100"/>
      <c r="F168" s="100"/>
      <c r="G168" s="103"/>
      <c r="H168" s="103"/>
    </row>
    <row r="169">
      <c r="A169" s="100"/>
      <c r="B169" s="103"/>
      <c r="C169" s="103"/>
      <c r="D169" s="103"/>
      <c r="E169" s="100"/>
      <c r="F169" s="100"/>
      <c r="G169" s="103"/>
      <c r="H169" s="103"/>
    </row>
    <row r="170">
      <c r="A170" s="100"/>
      <c r="B170" s="103"/>
      <c r="C170" s="103"/>
      <c r="D170" s="103"/>
      <c r="E170" s="100"/>
      <c r="F170" s="100"/>
      <c r="G170" s="103"/>
      <c r="H170" s="103"/>
    </row>
    <row r="171">
      <c r="A171" s="100"/>
      <c r="B171" s="103"/>
      <c r="C171" s="103"/>
      <c r="D171" s="103"/>
      <c r="E171" s="100"/>
      <c r="F171" s="100"/>
      <c r="G171" s="103"/>
      <c r="H171" s="103"/>
    </row>
    <row r="172">
      <c r="A172" s="100"/>
      <c r="B172" s="103"/>
      <c r="C172" s="103"/>
      <c r="D172" s="103"/>
      <c r="E172" s="100"/>
      <c r="F172" s="100"/>
      <c r="G172" s="103"/>
      <c r="H172" s="103"/>
    </row>
    <row r="173">
      <c r="A173" s="100"/>
      <c r="B173" s="103"/>
      <c r="C173" s="103"/>
      <c r="D173" s="103"/>
      <c r="E173" s="100"/>
      <c r="F173" s="100"/>
      <c r="G173" s="103"/>
      <c r="H173" s="103"/>
    </row>
    <row r="174">
      <c r="A174" s="100"/>
      <c r="B174" s="103"/>
      <c r="C174" s="103"/>
      <c r="D174" s="103"/>
      <c r="E174" s="100"/>
      <c r="F174" s="100"/>
      <c r="G174" s="103"/>
      <c r="H174" s="103"/>
    </row>
    <row r="175">
      <c r="A175" s="100"/>
      <c r="B175" s="103"/>
      <c r="C175" s="103"/>
      <c r="D175" s="103"/>
      <c r="E175" s="100"/>
      <c r="F175" s="100"/>
      <c r="G175" s="103"/>
      <c r="H175" s="103"/>
    </row>
    <row r="176">
      <c r="A176" s="100"/>
      <c r="B176" s="103"/>
      <c r="C176" s="103"/>
      <c r="D176" s="103"/>
      <c r="E176" s="100"/>
      <c r="F176" s="100"/>
      <c r="G176" s="103"/>
      <c r="H176" s="103"/>
    </row>
    <row r="177">
      <c r="A177" s="100"/>
      <c r="B177" s="103"/>
      <c r="C177" s="103"/>
      <c r="D177" s="103"/>
      <c r="E177" s="100"/>
      <c r="F177" s="100"/>
      <c r="G177" s="103"/>
      <c r="H177" s="103"/>
    </row>
    <row r="178">
      <c r="A178" s="100"/>
      <c r="B178" s="103"/>
      <c r="C178" s="103"/>
      <c r="D178" s="103"/>
      <c r="E178" s="100"/>
      <c r="F178" s="100"/>
      <c r="G178" s="103"/>
      <c r="H178" s="103"/>
    </row>
    <row r="179">
      <c r="A179" s="100"/>
      <c r="B179" s="103"/>
      <c r="C179" s="103"/>
      <c r="D179" s="103"/>
      <c r="E179" s="100"/>
      <c r="F179" s="100"/>
      <c r="G179" s="103"/>
      <c r="H179" s="103"/>
    </row>
    <row r="180">
      <c r="A180" s="100"/>
      <c r="B180" s="103"/>
      <c r="C180" s="103"/>
      <c r="D180" s="103"/>
      <c r="E180" s="100"/>
      <c r="F180" s="100"/>
      <c r="G180" s="103"/>
      <c r="H180" s="103"/>
    </row>
    <row r="181">
      <c r="A181" s="100"/>
      <c r="B181" s="103"/>
      <c r="C181" s="103"/>
      <c r="D181" s="103"/>
      <c r="E181" s="100"/>
      <c r="F181" s="100"/>
      <c r="G181" s="103"/>
      <c r="H181" s="103"/>
    </row>
    <row r="182">
      <c r="A182" s="100"/>
      <c r="B182" s="103"/>
      <c r="C182" s="103"/>
      <c r="D182" s="103"/>
      <c r="E182" s="100"/>
      <c r="F182" s="100"/>
      <c r="G182" s="103"/>
      <c r="H182" s="103"/>
    </row>
    <row r="183">
      <c r="A183" s="100"/>
      <c r="B183" s="103"/>
      <c r="C183" s="103"/>
      <c r="D183" s="103"/>
      <c r="E183" s="100"/>
      <c r="F183" s="100"/>
      <c r="G183" s="103"/>
      <c r="H183" s="103"/>
    </row>
    <row r="184">
      <c r="A184" s="100"/>
      <c r="B184" s="103"/>
      <c r="C184" s="103"/>
      <c r="D184" s="103"/>
      <c r="E184" s="100"/>
      <c r="F184" s="100"/>
      <c r="G184" s="103"/>
      <c r="H184" s="103"/>
    </row>
    <row r="185">
      <c r="A185" s="100"/>
      <c r="B185" s="103"/>
      <c r="C185" s="103"/>
      <c r="D185" s="103"/>
      <c r="E185" s="100"/>
      <c r="F185" s="100"/>
      <c r="G185" s="103"/>
      <c r="H185" s="103"/>
    </row>
    <row r="186">
      <c r="A186" s="100"/>
      <c r="B186" s="103"/>
      <c r="C186" s="103"/>
      <c r="D186" s="103"/>
      <c r="E186" s="100"/>
      <c r="F186" s="100"/>
      <c r="G186" s="103"/>
      <c r="H186" s="103"/>
    </row>
    <row r="187">
      <c r="A187" s="100"/>
      <c r="B187" s="103"/>
      <c r="C187" s="103"/>
      <c r="D187" s="103"/>
      <c r="E187" s="100"/>
      <c r="F187" s="100"/>
      <c r="G187" s="103"/>
      <c r="H187" s="103"/>
    </row>
    <row r="188">
      <c r="A188" s="100"/>
      <c r="B188" s="103"/>
      <c r="C188" s="103"/>
      <c r="D188" s="103"/>
      <c r="E188" s="100"/>
      <c r="F188" s="100"/>
      <c r="G188" s="103"/>
      <c r="H188" s="103"/>
    </row>
    <row r="189">
      <c r="A189" s="100"/>
      <c r="B189" s="103"/>
      <c r="C189" s="103"/>
      <c r="D189" s="103"/>
      <c r="E189" s="100"/>
      <c r="F189" s="100"/>
      <c r="G189" s="103"/>
      <c r="H189" s="103"/>
    </row>
    <row r="190">
      <c r="A190" s="100"/>
      <c r="B190" s="103"/>
      <c r="C190" s="103"/>
      <c r="D190" s="103"/>
      <c r="E190" s="100"/>
      <c r="F190" s="100"/>
      <c r="G190" s="103"/>
      <c r="H190" s="103"/>
    </row>
    <row r="191">
      <c r="A191" s="100"/>
      <c r="B191" s="103"/>
      <c r="C191" s="103"/>
      <c r="D191" s="103"/>
      <c r="E191" s="100"/>
      <c r="F191" s="100"/>
      <c r="G191" s="103"/>
      <c r="H191" s="103"/>
    </row>
    <row r="192">
      <c r="A192" s="100"/>
      <c r="B192" s="103"/>
      <c r="C192" s="103"/>
      <c r="D192" s="103"/>
      <c r="E192" s="100"/>
      <c r="F192" s="100"/>
      <c r="G192" s="103"/>
      <c r="H192" s="103"/>
    </row>
    <row r="193">
      <c r="A193" s="100"/>
      <c r="B193" s="103"/>
      <c r="C193" s="103"/>
      <c r="D193" s="103"/>
      <c r="E193" s="100"/>
      <c r="F193" s="100"/>
      <c r="G193" s="103"/>
      <c r="H193" s="103"/>
    </row>
    <row r="194">
      <c r="A194" s="100"/>
      <c r="B194" s="103"/>
      <c r="C194" s="103"/>
      <c r="D194" s="103"/>
      <c r="E194" s="100"/>
      <c r="F194" s="100"/>
      <c r="G194" s="103"/>
      <c r="H194" s="103"/>
    </row>
    <row r="195">
      <c r="A195" s="100"/>
      <c r="B195" s="103"/>
      <c r="C195" s="103"/>
      <c r="D195" s="103"/>
      <c r="E195" s="100"/>
      <c r="F195" s="100"/>
      <c r="G195" s="103"/>
      <c r="H195" s="103"/>
    </row>
    <row r="196">
      <c r="A196" s="100"/>
      <c r="B196" s="103"/>
      <c r="C196" s="103"/>
      <c r="D196" s="103"/>
      <c r="E196" s="100"/>
      <c r="F196" s="100"/>
      <c r="G196" s="103"/>
      <c r="H196" s="103"/>
    </row>
    <row r="197">
      <c r="A197" s="100"/>
      <c r="B197" s="103"/>
      <c r="C197" s="103"/>
      <c r="D197" s="103"/>
      <c r="E197" s="100"/>
      <c r="F197" s="100"/>
      <c r="G197" s="103"/>
      <c r="H197" s="103"/>
    </row>
    <row r="198">
      <c r="A198" s="100"/>
      <c r="B198" s="103"/>
      <c r="C198" s="103"/>
      <c r="D198" s="103"/>
      <c r="E198" s="100"/>
      <c r="F198" s="100"/>
      <c r="G198" s="103"/>
      <c r="H198" s="103"/>
    </row>
    <row r="199">
      <c r="A199" s="100"/>
      <c r="B199" s="103"/>
      <c r="C199" s="103"/>
      <c r="D199" s="103"/>
      <c r="E199" s="100"/>
      <c r="F199" s="100"/>
      <c r="G199" s="103"/>
      <c r="H199" s="103"/>
    </row>
    <row r="200">
      <c r="A200" s="100"/>
      <c r="B200" s="103"/>
      <c r="C200" s="103"/>
      <c r="D200" s="103"/>
      <c r="E200" s="100"/>
      <c r="F200" s="100"/>
      <c r="G200" s="103"/>
      <c r="H200" s="103"/>
    </row>
    <row r="201">
      <c r="A201" s="100"/>
      <c r="B201" s="103"/>
      <c r="C201" s="103"/>
      <c r="D201" s="103"/>
      <c r="E201" s="100"/>
      <c r="F201" s="100"/>
      <c r="G201" s="103"/>
      <c r="H201" s="103"/>
    </row>
    <row r="202">
      <c r="A202" s="100"/>
      <c r="B202" s="103"/>
      <c r="C202" s="103"/>
      <c r="D202" s="103"/>
      <c r="E202" s="100"/>
      <c r="F202" s="100"/>
      <c r="G202" s="103"/>
      <c r="H202" s="103"/>
    </row>
    <row r="203">
      <c r="A203" s="101"/>
      <c r="B203" s="104"/>
      <c r="C203" s="104"/>
      <c r="D203" s="104"/>
      <c r="E203" s="101"/>
      <c r="F203" s="101"/>
      <c r="G203" s="104"/>
      <c r="H203" s="104"/>
    </row>
  </sheetData>
  <mergeCells>
    <mergeCell ref="A1:H1"/>
  </mergeCells>
  <conditionalFormatting sqref="E4:E203">
    <cfRule type="containsText" dxfId="1" priority="1" operator="containsText" text="BAJA"/>
  </conditionalFormatting>
  <conditionalFormatting sqref="F4:F203">
    <cfRule type="containsText" dxfId="2" priority="2" operator="containsText" text="SÍ"/>
  </conditionalFormatting>
  <dataValidations count="2">
    <dataValidation type="list" sqref="E4:E203">
      <formula1>"ALTA,MEDIA,BAJA"</formula1>
    </dataValidation>
    <dataValidation type="list" sqref="F4:F203">
      <formula1>"SÍ,NO"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24" hidden="0" customWidth="1"/>
    <col min="3" max="3" width="95" hidden="0" customWidth="1"/>
  </cols>
  <sheetData>
    <row r="1">
      <c r="A1" s="89" t="str">
        <v>INSTRUCCIONES OPERATIVAS PARA EL GPT COTIZADOR</v>
      </c>
      <c r="B1" s="89"/>
      <c r="C1" s="89"/>
    </row>
    <row r="3">
      <c r="A3" s="120" t="str">
        <v>FUNCIÓN</v>
      </c>
      <c r="B3" s="114" t="str">
        <v>Fuente única</v>
      </c>
      <c r="C3" s="114" t="str">
        <v>Use este libro como plantilla y base de precios. No mezcle nuevamente los cinco archivos originales.</v>
      </c>
    </row>
    <row r="4">
      <c r="A4" s="121" t="str">
        <v>ENTRADA</v>
      </c>
      <c r="B4" s="115" t="str">
        <v>Proyecto</v>
      </c>
      <c r="C4" s="115" t="str">
        <v>Analice todas las páginas del PDF o todas las imágenes como un solo proyecto; compare vistas y evite duplicados.</v>
      </c>
    </row>
    <row r="5">
      <c r="A5" s="121" t="str">
        <v>EVIDENCIA</v>
      </c>
      <c r="B5" s="115" t="str">
        <v>Qué incluir</v>
      </c>
      <c r="C5" s="115" t="str">
        <v>Incluya elementos visibles, contables, acotados, escritos o confirmados por el usuario.</v>
      </c>
    </row>
    <row r="6">
      <c r="A6" s="121" t="str">
        <v>CANTIDADES</v>
      </c>
      <c r="B6" s="115" t="str">
        <v>Estimación</v>
      </c>
      <c r="C6" s="115" t="str">
        <v>Estime cantidades cuando exista escala, cota, repetición o proporción razonable. Registre el supuesto en REVISIÓN TÉCNICA.</v>
      </c>
    </row>
    <row r="7">
      <c r="A7" s="121" t="str">
        <v>CANTIDADES</v>
      </c>
      <c r="B7" s="115" t="str">
        <v>Pendiente</v>
      </c>
      <c r="C7" s="115" t="str">
        <v>Use PENDIENTE solo cuando no exista referencia visual o dimensional razonable.</v>
      </c>
    </row>
    <row r="8">
      <c r="A8" s="121" t="str">
        <v>PRECIOS</v>
      </c>
      <c r="B8" s="115" t="str">
        <v>Coincidencia exacta</v>
      </c>
      <c r="C8" s="115" t="str">
        <v>Busque primero por ID, descripción, familia y palabras clave. Use COSTO REFERENCIAL y UTILIDAD SUGERIDA.</v>
      </c>
    </row>
    <row r="9">
      <c r="A9" s="121" t="str">
        <v>PRECIOS</v>
      </c>
      <c r="B9" s="115" t="str">
        <v>Coincidencia similar</v>
      </c>
      <c r="C9" s="115" t="str">
        <v>Use el precio comparable como referencia y marque la partida para revisión.</v>
      </c>
    </row>
    <row r="10">
      <c r="A10" s="121" t="str">
        <v>PRECIOS</v>
      </c>
      <c r="B10" s="115" t="str">
        <v>Sin coincidencia</v>
      </c>
      <c r="C10" s="115" t="str">
        <v>Estime por analogía con rubros cercanos y documente la analogía; no afirme que el valor proviene de la base.</v>
      </c>
    </row>
    <row r="11">
      <c r="A11" s="121" t="str">
        <v>VIGENCIA</v>
      </c>
      <c r="B11" s="115" t="str">
        <v>CAMICON</v>
      </c>
      <c r="C11" s="115" t="str">
        <v>Los 502 rubros CAMICON corresponden a Quito, octubre–diciembre 2025. El 22% corresponde a indirectos, no a utilidad.</v>
      </c>
    </row>
    <row r="12">
      <c r="A12" s="121" t="str">
        <v>VIGENCIA</v>
      </c>
      <c r="B12" s="115" t="str">
        <v>Base interna</v>
      </c>
      <c r="C12" s="115" t="str">
        <v>Los 124 rubros internos no tienen fecha indicada; deben considerarse referencias sujetas a revisión.</v>
      </c>
    </row>
    <row r="13">
      <c r="A13" s="121" t="str">
        <v>UTILIDAD</v>
      </c>
      <c r="B13" s="115" t="str">
        <v>Valor provisional</v>
      </c>
      <c r="C13" s="115" t="str">
        <v>Cuando la fuente no define utilidad se asignó 30% provisional. Puede cambiarse en MAESTRO PRECIOS o en la cotización.</v>
      </c>
    </row>
    <row r="14">
      <c r="A14" s="121" t="str">
        <v>CLASIFICACIÓN</v>
      </c>
      <c r="B14" s="115" t="str">
        <v>Capítulos</v>
      </c>
      <c r="C14" s="115" t="str">
        <v>Use únicamente: Mobiliario y módulos; Rotulación y señalética; Vidrio y aluminio; Acabados y gypsum; Iluminación; Obra civil; Varios, transporte y montaje.</v>
      </c>
    </row>
    <row r="15">
      <c r="A15" s="121" t="str">
        <v>UNIDADES</v>
      </c>
      <c r="B15" s="115" t="str">
        <v>Uso</v>
      </c>
      <c r="C15" s="115" t="str">
        <v>u para elementos completos; m² superficies; mtl elementos lineales; pto puntos; gl trabajos globales; jgo conjuntos.</v>
      </c>
    </row>
    <row r="16">
      <c r="A16" s="121" t="str">
        <v>EXCLUSIONES</v>
      </c>
      <c r="B16" s="115" t="str">
        <v>Por defecto</v>
      </c>
      <c r="C16" s="115" t="str">
        <v>Excluya personas, mercadería, objetos móviles y decoración de ambientación salvo solicitud expresa.</v>
      </c>
    </row>
    <row r="17">
      <c r="A17" s="121" t="str">
        <v>DESCRIPCIÓN</v>
      </c>
      <c r="B17" s="115" t="str">
        <v>Redacción</v>
      </c>
      <c r="C17" s="115" t="str">
        <v>Redacte partidas completas: suministro, fabricación, material aparente, acabado, instalación, fijación y montaje cuando aplique.</v>
      </c>
    </row>
    <row r="18">
      <c r="A18" s="121" t="str">
        <v>EXCEL</v>
      </c>
      <c r="B18" s="115" t="str">
        <v>Creación</v>
      </c>
      <c r="C18" s="115" t="str">
        <v>Abra este libro, cree una copia, complete PLANTILLA COTIZACIÓN y REVISIÓN TÉCNICA, conserve fórmulas y entregue el .xlsx.</v>
      </c>
    </row>
    <row r="19">
      <c r="A19" s="121" t="str">
        <v>CONTROL</v>
      </c>
      <c r="B19" s="115" t="str">
        <v>Antes de entregar</v>
      </c>
      <c r="C19" s="115" t="str">
        <v>Verifique páginas analizadas, duplicados, unidades, cantidades, precios, fórmulas, subtotales, IVA 15% y apertura del archivo.</v>
      </c>
    </row>
    <row r="20">
      <c r="A20" s="122" t="str">
        <v>SALIDA</v>
      </c>
      <c r="B20" s="116" t="str">
        <v>Respuesta</v>
      </c>
      <c r="C20" s="116" t="str">
        <v>Muestre máximo cinco líneas: páginas/imágenes, rubros, total sin IVA, total con IVA y rubros por revisar; luego adjunte el Excel.</v>
      </c>
    </row>
  </sheetData>
  <mergeCells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6" hidden="0" customWidth="1"/>
    <col min="2" max="2" width="28" hidden="0" customWidth="1"/>
    <col min="3" max="3" width="28" hidden="0" customWidth="1"/>
    <col min="4" max="4" width="22" hidden="0" customWidth="1"/>
    <col min="5" max="5" width="20" hidden="0" customWidth="1"/>
    <col min="6" max="6" width="58" hidden="0" customWidth="1"/>
  </cols>
  <sheetData>
    <row r="1">
      <c r="A1" s="89" t="str">
        <v>TRAZABILIDAD DE LA CONSOLIDACIÓN</v>
      </c>
      <c r="B1" s="89"/>
      <c r="C1" s="89"/>
      <c r="D1" s="89"/>
      <c r="E1" s="89"/>
      <c r="F1" s="89"/>
    </row>
    <row r="3">
      <c r="A3" s="92" t="str">
        <v>ARCHIVO ORIGINAL</v>
      </c>
      <c r="B3" s="92" t="str">
        <v>FUNCIÓN ORIGINAL</v>
      </c>
      <c r="C3" s="92" t="str">
        <v>DECISIÓN</v>
      </c>
      <c r="D3" s="92" t="str">
        <v>RUBROS INCORPORADOS</v>
      </c>
      <c r="E3" s="92" t="str">
        <v>PERIODO</v>
      </c>
      <c r="F3" s="92" t="str">
        <v>OBSERVACIÓN</v>
      </c>
    </row>
    <row r="4">
      <c r="A4" s="102" t="str">
        <v>RUBROS-REFERENCIALES-OCTUBRE-DICIEMBRE (1).xlsx</v>
      </c>
      <c r="B4" s="102" t="str">
        <v>Base CAMICON completa</v>
      </c>
      <c r="C4" s="102" t="str">
        <v>Fuente principal de obra civil</v>
      </c>
      <c r="D4" s="126" t="n">
        <v>502</v>
      </c>
      <c r="E4" s="102" t="str">
        <v>Oct–dic 2025</v>
      </c>
      <c r="F4" s="102" t="str">
        <v>Costo directo; se calculó costo referencial con 22% de indirectos.</v>
      </c>
    </row>
    <row r="5">
      <c r="A5" s="103" t="str">
        <v>PARA CLAUDE.xlsx</v>
      </c>
      <c r="B5" s="103" t="str">
        <v>Subconjunto de CAMICON</v>
      </c>
      <c r="C5" s="103" t="str">
        <v>No se duplicó</v>
      </c>
      <c r="D5" s="127" t="n">
        <v>0</v>
      </c>
      <c r="E5" s="103" t="str">
        <v>Oct–dic 2025</v>
      </c>
      <c r="F5" s="103" t="str">
        <v>Contenía 286 rubros ya presentes en la base completa.</v>
      </c>
    </row>
    <row r="6">
      <c r="A6" s="103" t="str">
        <v>solo rubros only.xlsx</v>
      </c>
      <c r="B6" s="103" t="str">
        <v>Base interna retail</v>
      </c>
      <c r="C6" s="103" t="str">
        <v>Incorporada y normalizada</v>
      </c>
      <c r="D6" s="127" t="n">
        <v>124</v>
      </c>
      <c r="E6" s="103" t="str">
        <v>Sin fecha</v>
      </c>
      <c r="F6" s="103" t="str">
        <v>Conserva costos y utilidades disponibles; requiere revisión de vigencia.</v>
      </c>
    </row>
    <row r="7">
      <c r="A7" s="103" t="str">
        <v>COSTO-POR-METRO-CUADRADO-1.-VIVIENDA-HA-REVISTA (2).xlsx</v>
      </c>
      <c r="B7" s="103" t="str">
        <v>Ejemplo de vivienda</v>
      </c>
      <c r="C7" s="103" t="str">
        <v>Solo benchmark</v>
      </c>
      <c r="D7" s="127" t="n">
        <v>0</v>
      </c>
      <c r="E7" s="103" t="str">
        <v>Jul–sep 2025</v>
      </c>
      <c r="F7" s="103" t="str">
        <v>Benchmark conservado: USD 453,48/m². Su base histórica no se duplicó.</v>
      </c>
    </row>
    <row r="8">
      <c r="A8" s="104" t="str">
        <v>Base_conocimiento_GPT_APU_desde_renders (1).docx</v>
      </c>
      <c r="B8" s="104" t="str">
        <v>Reglas de análisis</v>
      </c>
      <c r="C8" s="104" t="str">
        <v>Integradas en GUÍA PARA GPT</v>
      </c>
      <c r="D8" s="128" t="n">
        <v>0</v>
      </c>
      <c r="E8" s="104" t="str">
        <v>Sin fecha</v>
      </c>
      <c r="F8" s="104" t="str">
        <v>Se resolvieron contradicciones con el flujo actual de estimación preliminar.</v>
      </c>
    </row>
    <row r="10">
      <c r="A10" s="129" t="str">
        <v>RESUMEN</v>
      </c>
      <c r="B10" s="129" t="str">
        <v>VALOR</v>
      </c>
      <c r="D10" s="129" t="str">
        <v>BENCHMARK</v>
      </c>
      <c r="E10" s="129" t="str">
        <v>VALOR</v>
      </c>
      <c r="F10" s="129" t="str">
        <v>PERIODO</v>
      </c>
    </row>
    <row r="11">
      <c r="A11" s="130" t="str">
        <v>Rubros CAMICON</v>
      </c>
      <c r="B11" s="131" t="n">
        <v>502</v>
      </c>
      <c r="D11" s="130" t="str">
        <v>Vivienda acabados medios–económicos</v>
      </c>
      <c r="E11" s="138" t="n">
        <v>453.48</v>
      </c>
      <c r="F11" s="131" t="str">
        <v>Julio–septiembre 2025</v>
      </c>
    </row>
    <row r="12">
      <c r="A12" s="132" t="str">
        <v>Rubros base interna</v>
      </c>
      <c r="B12" s="133" t="n">
        <v>124</v>
      </c>
      <c r="D12" s="132" t="str">
        <v>IVA de plantilla</v>
      </c>
      <c r="E12" s="139" t="n">
        <v>0.15</v>
      </c>
      <c r="F12" s="133" t="str">
        <v>Ecuador</v>
      </c>
    </row>
    <row r="13">
      <c r="A13" s="134" t="str">
        <v>Total maestro</v>
      </c>
      <c r="B13" s="135" t="n">
        <v>626</v>
      </c>
      <c r="D13" s="134" t="str">
        <v>Utilidad provisional cuando falta</v>
      </c>
      <c r="E13" s="140" t="n">
        <v>0.3</v>
      </c>
      <c r="F13" s="135" t="str">
        <v>Editable</v>
      </c>
    </row>
  </sheetData>
  <mergeCells>
    <mergeCell ref="A1:F1"/>
  </mergeCells>
  <pageMargins left="0.7" right="0.7" top="0.75" bottom="0.75" header="0.3" footer="0.3"/>
</worksheet>
</file>